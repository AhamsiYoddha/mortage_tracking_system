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A7D8B72436BC1F9F/Documents/vivek/"/>
    </mc:Choice>
  </mc:AlternateContent>
  <xr:revisionPtr revIDLastSave="16" documentId="8_{C2A33A6A-FE47-40E1-B140-4274C4AFBFC8}" xr6:coauthVersionLast="47" xr6:coauthVersionMax="47" xr10:uidLastSave="{F495E14F-9E41-473C-8F26-13F308F13E78}"/>
  <bookViews>
    <workbookView xWindow="-120" yWindow="-120" windowWidth="20640" windowHeight="11160" activeTab="3" xr2:uid="{036E3B43-2BE7-41F7-90F0-FB3D5DA37725}"/>
  </bookViews>
  <sheets>
    <sheet name="Leads" sheetId="1" r:id="rId1"/>
    <sheet name="Leads_Dashboard" sheetId="2" r:id="rId2"/>
    <sheet name="Main Tracker" sheetId="3" r:id="rId3"/>
    <sheet name="Main Tracker Dashboard" sheetId="4" r:id="rId4"/>
    <sheet name="Pivots" sheetId="5" r:id="rId5"/>
  </sheets>
  <definedNames>
    <definedName name="_xlnm._FilterDatabase" localSheetId="0" hidden="1">Leads!$F$1:$F$1</definedName>
    <definedName name="Slicer_Referral_Source">#N/A</definedName>
    <definedName name="Slicer_Referral_Source1">#N/A</definedName>
    <definedName name="Slicer_Years__Closing_Date">#N/A</definedName>
  </definedNames>
  <calcPr calcId="191029"/>
  <pivotCaches>
    <pivotCache cacheId="55" r:id="rId6"/>
    <pivotCache cacheId="61"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4" l="1"/>
  <c r="B2" i="2"/>
  <c r="A2" i="2"/>
  <c r="A5" i="4"/>
  <c r="E5" i="4"/>
  <c r="C5" i="4"/>
  <c r="B5" i="4"/>
  <c r="C2" i="2" l="1"/>
  <c r="D5" i="4"/>
</calcChain>
</file>

<file path=xl/sharedStrings.xml><?xml version="1.0" encoding="utf-8"?>
<sst xmlns="http://schemas.openxmlformats.org/spreadsheetml/2006/main" count="469" uniqueCount="195">
  <si>
    <t>Lead Date</t>
  </si>
  <si>
    <t>Lead Name</t>
  </si>
  <si>
    <t>Lead Email</t>
  </si>
  <si>
    <t>Referral Source</t>
  </si>
  <si>
    <t>Referral Name</t>
  </si>
  <si>
    <t>Yes</t>
  </si>
  <si>
    <t>Google</t>
  </si>
  <si>
    <t>Past Client</t>
  </si>
  <si>
    <t>Family/Friend</t>
  </si>
  <si>
    <t>Realtor</t>
  </si>
  <si>
    <t>Social Media</t>
  </si>
  <si>
    <t>Website</t>
  </si>
  <si>
    <t>Ravi Gupta</t>
  </si>
  <si>
    <t>Tanur Jain</t>
  </si>
  <si>
    <t>Sameer Pandey</t>
  </si>
  <si>
    <t>Alo Kumar</t>
  </si>
  <si>
    <t>Rahul Singh</t>
  </si>
  <si>
    <t>Palak Kumari</t>
  </si>
  <si>
    <t>Parvati Sharma</t>
  </si>
  <si>
    <t>Swati Tiwari</t>
  </si>
  <si>
    <t>Tanya Kapoor</t>
  </si>
  <si>
    <t>Sonia Sharma</t>
  </si>
  <si>
    <t>Isha Gupta</t>
  </si>
  <si>
    <t>Ranvijay Singh</t>
  </si>
  <si>
    <t>Shiv Praksh Shukla</t>
  </si>
  <si>
    <t>Aditya Nath Tripathi</t>
  </si>
  <si>
    <t>Satyam Shukla</t>
  </si>
  <si>
    <t>Rishi Mahajan Pandey</t>
  </si>
  <si>
    <t>Aditya Ranjan</t>
  </si>
  <si>
    <t>Khushi Jha</t>
  </si>
  <si>
    <t>Manik Choudhry</t>
  </si>
  <si>
    <t>Rahul Pandy</t>
  </si>
  <si>
    <t>Abhishek Pandey</t>
  </si>
  <si>
    <t>Sidhant Avasthi</t>
  </si>
  <si>
    <t>Sidhart Sharma</t>
  </si>
  <si>
    <t>Devraj Rathod</t>
  </si>
  <si>
    <t>Deshraj Jhakar</t>
  </si>
  <si>
    <t>Bhumika Tripathi</t>
  </si>
  <si>
    <t>Sharmestha Sharma</t>
  </si>
  <si>
    <t>Janvi Kumari</t>
  </si>
  <si>
    <t>Satyam Singh</t>
  </si>
  <si>
    <t>Adith Kumar Sing</t>
  </si>
  <si>
    <t>Rajesh Shaw</t>
  </si>
  <si>
    <t>Rajkumar Pandey</t>
  </si>
  <si>
    <t>Vivek Yadav</t>
  </si>
  <si>
    <t>Swati Yadav</t>
  </si>
  <si>
    <t>Samar Kumar Singh</t>
  </si>
  <si>
    <t>ravigupta@fakmail.com</t>
  </si>
  <si>
    <t>tanurjain@fakmail.com</t>
  </si>
  <si>
    <t>sameerpandey@fakmail.com</t>
  </si>
  <si>
    <t>alokumar@fakmail.com</t>
  </si>
  <si>
    <t>rahulsingh@fakmail.com</t>
  </si>
  <si>
    <t>palakkumari@fakmail.com</t>
  </si>
  <si>
    <t>parvatisharma@fakmail.com</t>
  </si>
  <si>
    <t>swatitiwari@fakmail.com</t>
  </si>
  <si>
    <t>tanyakapoor@fakmail.com</t>
  </si>
  <si>
    <t>soniasharma@fakmail.com</t>
  </si>
  <si>
    <t>ishagupta@fakmail.com</t>
  </si>
  <si>
    <t>ranvijaysingh@fakmail.com</t>
  </si>
  <si>
    <t>shivprakshshukla@fakmail.com</t>
  </si>
  <si>
    <t>adityanathtripathi@fakmail.com</t>
  </si>
  <si>
    <t>satyamshukla@fakmail.com</t>
  </si>
  <si>
    <t>rishimahajanpandey@fakmail.com</t>
  </si>
  <si>
    <t>adityaranjan@fakmail.com</t>
  </si>
  <si>
    <t>khushijha@fakmail.com</t>
  </si>
  <si>
    <t>manikchoudhry@fakmail.com</t>
  </si>
  <si>
    <t>rahulpandy@fakmail.com</t>
  </si>
  <si>
    <t>abhishekpandey@fakmail.com</t>
  </si>
  <si>
    <t>sidhantavasthi@fakmail.com</t>
  </si>
  <si>
    <t>sidhartsharma@fakmail.com</t>
  </si>
  <si>
    <t>devrajrathod@fakmail.com</t>
  </si>
  <si>
    <t>deshrajjhakar@fakmail.com</t>
  </si>
  <si>
    <t>bhumikatripathi@fakmail.com</t>
  </si>
  <si>
    <t>sharmesthasharma@fakmail.com</t>
  </si>
  <si>
    <t>janvikumari@fakmail.com</t>
  </si>
  <si>
    <t>satyamsingh@fakmail.com</t>
  </si>
  <si>
    <t>adithkumarsing@fakmail.com</t>
  </si>
  <si>
    <t>rajeshshaw@fakmail.com</t>
  </si>
  <si>
    <t>rajkumarpandey@fakmail.com</t>
  </si>
  <si>
    <t>vivekyadav@fakmail.com</t>
  </si>
  <si>
    <t>swatiyadav@fakmail.com</t>
  </si>
  <si>
    <t>samarkumarsingh@fakmail.com</t>
  </si>
  <si>
    <t>Sayam Rajveer Singh</t>
  </si>
  <si>
    <t>RajPritam Pandey</t>
  </si>
  <si>
    <t>Laxman Kumar Shukla</t>
  </si>
  <si>
    <t>Ayush Yadav</t>
  </si>
  <si>
    <t>Ankit Pandey</t>
  </si>
  <si>
    <t>Ankit Tiwari</t>
  </si>
  <si>
    <t>Raj Aditya Prakash</t>
  </si>
  <si>
    <t>Keshav Dhanraj</t>
  </si>
  <si>
    <t>Monty Sachdewa</t>
  </si>
  <si>
    <t>Manav Sharma</t>
  </si>
  <si>
    <t>Raju Jha</t>
  </si>
  <si>
    <t>Satya Tripathi</t>
  </si>
  <si>
    <t>Venkatesh Shukla</t>
  </si>
  <si>
    <t>Pritam Singh</t>
  </si>
  <si>
    <t>Aditya Pandit</t>
  </si>
  <si>
    <t>Mohit Sharma</t>
  </si>
  <si>
    <t>Akash Yadav</t>
  </si>
  <si>
    <t>Abhinav Shukkla</t>
  </si>
  <si>
    <t>Manish Kumar Singh</t>
  </si>
  <si>
    <t>Ritesh Sharma</t>
  </si>
  <si>
    <t>Himanshu Sharma</t>
  </si>
  <si>
    <t>Harsh Pandey</t>
  </si>
  <si>
    <t>Sahil Kumar Shukla</t>
  </si>
  <si>
    <t>Went Live</t>
  </si>
  <si>
    <t>Row Labels</t>
  </si>
  <si>
    <t>Grand Total</t>
  </si>
  <si>
    <t>Jan</t>
  </si>
  <si>
    <t>Feb</t>
  </si>
  <si>
    <t>Mar</t>
  </si>
  <si>
    <t>Apr</t>
  </si>
  <si>
    <t>May</t>
  </si>
  <si>
    <t>Jun</t>
  </si>
  <si>
    <t>Jul</t>
  </si>
  <si>
    <t>Aug</t>
  </si>
  <si>
    <t>Sep</t>
  </si>
  <si>
    <t>Oct</t>
  </si>
  <si>
    <t>Nov</t>
  </si>
  <si>
    <t>Count of Lead Date</t>
  </si>
  <si>
    <t>2025</t>
  </si>
  <si>
    <t>Years (Lead Date)</t>
  </si>
  <si>
    <t>Total Leads(YTD)</t>
  </si>
  <si>
    <t>Total Live Deals</t>
  </si>
  <si>
    <t>Conversions%</t>
  </si>
  <si>
    <t>Client Name</t>
  </si>
  <si>
    <t>Location</t>
  </si>
  <si>
    <t>Purpose</t>
  </si>
  <si>
    <t>Lender</t>
  </si>
  <si>
    <t>Trailer</t>
  </si>
  <si>
    <t>MPP</t>
  </si>
  <si>
    <t>Status</t>
  </si>
  <si>
    <t>Closing Date</t>
  </si>
  <si>
    <t>Gift Card Value</t>
  </si>
  <si>
    <t>BPS Expected</t>
  </si>
  <si>
    <t>Arnab Kumar Choudhury</t>
  </si>
  <si>
    <t>Santosh Jha</t>
  </si>
  <si>
    <t>Ritam Pandey</t>
  </si>
  <si>
    <t>Satya Srivas</t>
  </si>
  <si>
    <t>S.K. Mansi</t>
  </si>
  <si>
    <t>Manoj Singh</t>
  </si>
  <si>
    <t>Sachin Yadav</t>
  </si>
  <si>
    <t>Ritesh Tiwari</t>
  </si>
  <si>
    <t>Ananya Kumari</t>
  </si>
  <si>
    <t>Nishu Chouhan</t>
  </si>
  <si>
    <t>Santoshi Chaturvedi</t>
  </si>
  <si>
    <t>Ram Mohan Sharma</t>
  </si>
  <si>
    <t>Jagdiswar Sahu</t>
  </si>
  <si>
    <t>Ashish Singh</t>
  </si>
  <si>
    <t>Rishu Kumar Pandey</t>
  </si>
  <si>
    <t>Roshni Pratap</t>
  </si>
  <si>
    <t>Suraj Pratap Singh</t>
  </si>
  <si>
    <t>Ram Singh</t>
  </si>
  <si>
    <t>Ramji Singh</t>
  </si>
  <si>
    <t>Rohit Yadav</t>
  </si>
  <si>
    <t>Aditya Choudhury</t>
  </si>
  <si>
    <t>Alok Kumar Yaadav</t>
  </si>
  <si>
    <t>Pritam Chouhan</t>
  </si>
  <si>
    <t>Parutosh Sekhawat</t>
  </si>
  <si>
    <t>Laxman Pratab Singh</t>
  </si>
  <si>
    <t>Abhinav Singh</t>
  </si>
  <si>
    <t>Anish Kumar Pandey</t>
  </si>
  <si>
    <t>Ravi Dhruv Thakur</t>
  </si>
  <si>
    <t>South Zone</t>
  </si>
  <si>
    <t>North Zone</t>
  </si>
  <si>
    <t>Other</t>
  </si>
  <si>
    <t>East Zone</t>
  </si>
  <si>
    <t>Central</t>
  </si>
  <si>
    <t>West Zone</t>
  </si>
  <si>
    <t>Refinance</t>
  </si>
  <si>
    <t xml:space="preserve">Purchase </t>
  </si>
  <si>
    <t>HELOC</t>
  </si>
  <si>
    <t>Renewal</t>
  </si>
  <si>
    <t xml:space="preserve">Transfer </t>
  </si>
  <si>
    <t xml:space="preserve">RFC Bank </t>
  </si>
  <si>
    <t>Credit Union</t>
  </si>
  <si>
    <t>SBSC Bank</t>
  </si>
  <si>
    <t>Private Lender</t>
  </si>
  <si>
    <t xml:space="preserve">NBFC </t>
  </si>
  <si>
    <t>Committed</t>
  </si>
  <si>
    <t>Funded</t>
  </si>
  <si>
    <t>No</t>
  </si>
  <si>
    <t>Mortgage Amount</t>
  </si>
  <si>
    <t>Count of Client Name</t>
  </si>
  <si>
    <t>Sum of Mortgage Amount</t>
  </si>
  <si>
    <t>Average of BPS Expected</t>
  </si>
  <si>
    <t>Sum of Gift Card Value</t>
  </si>
  <si>
    <t>Mortgage Performance Dashboard (YTD)</t>
  </si>
  <si>
    <t>Total Funded Volume (YTD)</t>
  </si>
  <si>
    <t>Funded Deals (YTD)</t>
  </si>
  <si>
    <t>Average BPS (YTD)</t>
  </si>
  <si>
    <t>MPP Take Rate (YTD)</t>
  </si>
  <si>
    <t>Trailer Volume (YTD)</t>
  </si>
  <si>
    <t>Gift Cards Spend (YTD)</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</si>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</sst>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00"/>
    <numFmt numFmtId="165" formatCode="[$$-409]#,##0"/>
    <numFmt numFmtId="166" formatCode="[$$-409]#,##0;[Red][$$-409]#,##0"/>
  </numFmts>
  <fonts count="5" x14ac:knownFonts="1">
    <font>
      <sz val="11"/>
      <color theme="1"/>
      <name val="Calibri"/>
      <family val="2"/>
      <scheme val="minor"/>
    </font>
    <font>
      <sz val="11"/>
      <color theme="1"/>
      <name val="Calibri"/>
      <family val="2"/>
      <scheme val="minor"/>
    </font>
    <font>
      <u/>
      <sz val="11"/>
      <color theme="10"/>
      <name val="Calibri"/>
      <family val="2"/>
      <scheme val="minor"/>
    </font>
    <font>
      <b/>
      <sz val="18"/>
      <color theme="1"/>
      <name val="Calibri"/>
      <family val="2"/>
      <scheme val="minor"/>
    </font>
    <font>
      <b/>
      <sz val="14"/>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14" fontId="0" fillId="0" borderId="0" xfId="0" applyNumberFormat="1"/>
    <xf numFmtId="0" fontId="1" fillId="0" borderId="0" xfId="1" applyFont="1"/>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0" applyNumberFormat="1"/>
    <xf numFmtId="166" fontId="0" fillId="0" borderId="0" xfId="0" applyNumberFormat="1"/>
    <xf numFmtId="0" fontId="0" fillId="0" borderId="0" xfId="0" applyProtection="1">
      <protection locked="0"/>
    </xf>
    <xf numFmtId="0" fontId="0" fillId="0" borderId="0" xfId="0" applyProtection="1"/>
    <xf numFmtId="9" fontId="0" fillId="0" borderId="0" xfId="0" applyNumberFormat="1" applyProtection="1"/>
    <xf numFmtId="165" fontId="0" fillId="0" borderId="0" xfId="0" applyNumberFormat="1" applyProtection="1">
      <protection locked="0"/>
    </xf>
    <xf numFmtId="0" fontId="3" fillId="0" borderId="0" xfId="0" applyFont="1" applyAlignment="1" applyProtection="1">
      <alignment horizontal="center"/>
    </xf>
    <xf numFmtId="0" fontId="4" fillId="0" borderId="0" xfId="0" applyFont="1" applyProtection="1"/>
    <xf numFmtId="165" fontId="0" fillId="0" borderId="0" xfId="0" applyNumberFormat="1" applyProtection="1"/>
    <xf numFmtId="1" fontId="0" fillId="0" borderId="0" xfId="0" applyNumberFormat="1" applyProtection="1"/>
    <xf numFmtId="166" fontId="0" fillId="0" borderId="0" xfId="0" applyNumberFormat="1" applyProtection="1"/>
    <xf numFmtId="164" fontId="0" fillId="0" borderId="0" xfId="0" applyNumberFormat="1" applyProtection="1"/>
    <xf numFmtId="0" fontId="0" fillId="0" borderId="0" xfId="0" applyNumberFormat="1"/>
  </cellXfs>
  <cellStyles count="2">
    <cellStyle name="Hyperlink" xfId="1" builtinId="8"/>
    <cellStyle name="Normal" xfId="0" builtinId="0"/>
  </cellStyles>
  <dxfs count="10">
    <dxf>
      <numFmt numFmtId="166" formatCode="[$$-409]#,##0;[Red][$$-409]#,##0"/>
    </dxf>
    <dxf>
      <numFmt numFmtId="166" formatCode="[$$-409]#,##0;[Red][$$-409]#,##0"/>
    </dxf>
    <dxf>
      <numFmt numFmtId="166" formatCode="[$$-409]#,##0;[Red][$$-409]#,##0"/>
    </dxf>
    <dxf>
      <numFmt numFmtId="166" formatCode="[$$-409]#,##0;[Red][$$-409]#,##0"/>
    </dxf>
    <dxf>
      <numFmt numFmtId="166" formatCode="[$$-409]#,##0;[Red][$$-409]#,##0"/>
    </dxf>
    <dxf>
      <numFmt numFmtId="166" formatCode="[$$-409]#,##0;[Red][$$-409]#,##0"/>
    </dxf>
    <dxf>
      <numFmt numFmtId="167" formatCode="dd/mm/yyyy"/>
    </dxf>
    <dxf>
      <numFmt numFmtId="166" formatCode="[$$-409]#,##0;[Red][$$-409]#,##0"/>
    </dxf>
    <dxf>
      <font>
        <b val="0"/>
        <i val="0"/>
        <strike val="0"/>
        <condense val="0"/>
        <extend val="0"/>
        <outline val="0"/>
        <shadow val="0"/>
        <u val="none"/>
        <vertAlign val="baseline"/>
        <sz val="11"/>
        <color theme="1"/>
        <name val="Calibri"/>
        <family val="2"/>
        <scheme val="minor"/>
      </font>
    </dxf>
    <dxf>
      <numFmt numFmtId="167"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[Mortage_Tracking_System_Demo.xlsm]Pivots!pt_Leads_YTD</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Leads by Month (2025 YTD)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Pivots!$B$3</c:f>
              <c:strCache>
                <c:ptCount val="1"/>
                <c:pt idx="0">
                  <c:v>Total</c:v>
                </c:pt>
              </c:strCache>
            </c:strRef>
          </c:tx>
          <c:spPr>
            <a:solidFill>
              <a:schemeClr val="accent1"/>
            </a:solidFill>
            <a:ln>
              <a:noFill/>
            </a:ln>
            <a:effectLst/>
          </c:spPr>
          <c:invertIfNegative val="0"/>
          <c:cat>
            <c:strRef>
              <c:f>Pivots!$A$4:$A$15</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Pivots!$B$4:$B$15</c:f>
              <c:numCache>
                <c:formatCode>General</c:formatCode>
                <c:ptCount val="11"/>
                <c:pt idx="0">
                  <c:v>3</c:v>
                </c:pt>
                <c:pt idx="1">
                  <c:v>3</c:v>
                </c:pt>
                <c:pt idx="2">
                  <c:v>3</c:v>
                </c:pt>
                <c:pt idx="3">
                  <c:v>2</c:v>
                </c:pt>
                <c:pt idx="4">
                  <c:v>4</c:v>
                </c:pt>
                <c:pt idx="5">
                  <c:v>4</c:v>
                </c:pt>
                <c:pt idx="6">
                  <c:v>3</c:v>
                </c:pt>
                <c:pt idx="7">
                  <c:v>4</c:v>
                </c:pt>
                <c:pt idx="8">
                  <c:v>2</c:v>
                </c:pt>
                <c:pt idx="9">
                  <c:v>4</c:v>
                </c:pt>
                <c:pt idx="10">
                  <c:v>3</c:v>
                </c:pt>
              </c:numCache>
            </c:numRef>
          </c:val>
          <c:extLst>
            <c:ext xmlns:c16="http://schemas.microsoft.com/office/drawing/2014/chart" uri="{C3380CC4-5D6E-409C-BE32-E72D297353CC}">
              <c16:uniqueId val="{00000000-4BBF-46F9-92C5-A3BADD8732A5}"/>
            </c:ext>
          </c:extLst>
        </c:ser>
        <c:dLbls>
          <c:showLegendKey val="0"/>
          <c:showVal val="0"/>
          <c:showCatName val="0"/>
          <c:showSerName val="0"/>
          <c:showPercent val="0"/>
          <c:showBubbleSize val="0"/>
        </c:dLbls>
        <c:gapWidth val="219"/>
        <c:overlap val="-27"/>
        <c:axId val="434057640"/>
        <c:axId val="434056200"/>
      </c:barChart>
      <c:catAx>
        <c:axId val="434057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056200"/>
        <c:crosses val="autoZero"/>
        <c:auto val="1"/>
        <c:lblAlgn val="ctr"/>
        <c:lblOffset val="100"/>
        <c:noMultiLvlLbl val="0"/>
      </c:catAx>
      <c:valAx>
        <c:axId val="434056200"/>
        <c:scaling>
          <c:orientation val="minMax"/>
          <c:max val="5"/>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057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[Mortage_Tracking_System_Demo.xlsm]Pivots!pt_Live_By_Month</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Live Deals by Month (2025 YTD)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12459975089673"/>
          <c:y val="0.22138062476911174"/>
          <c:w val="0.89887540024910328"/>
          <c:h val="0.68290201061216238"/>
        </c:manualLayout>
      </c:layout>
      <c:barChart>
        <c:barDir val="col"/>
        <c:grouping val="clustered"/>
        <c:varyColors val="0"/>
        <c:ser>
          <c:idx val="0"/>
          <c:order val="0"/>
          <c:tx>
            <c:strRef>
              <c:f>Pivots!$E$4</c:f>
              <c:strCache>
                <c:ptCount val="1"/>
                <c:pt idx="0">
                  <c:v>Total</c:v>
                </c:pt>
              </c:strCache>
            </c:strRef>
          </c:tx>
          <c:spPr>
            <a:solidFill>
              <a:schemeClr val="accent1"/>
            </a:solidFill>
            <a:ln>
              <a:noFill/>
            </a:ln>
            <a:effectLst/>
          </c:spPr>
          <c:invertIfNegative val="0"/>
          <c:cat>
            <c:strRef>
              <c:f>Pivots!$D$5:$D$16</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Pivots!$E$5:$E$16</c:f>
              <c:numCache>
                <c:formatCode>General</c:formatCode>
                <c:ptCount val="11"/>
                <c:pt idx="0">
                  <c:v>1</c:v>
                </c:pt>
                <c:pt idx="1">
                  <c:v>1</c:v>
                </c:pt>
                <c:pt idx="2">
                  <c:v>3</c:v>
                </c:pt>
                <c:pt idx="3">
                  <c:v>1</c:v>
                </c:pt>
                <c:pt idx="4">
                  <c:v>1</c:v>
                </c:pt>
                <c:pt idx="5">
                  <c:v>1</c:v>
                </c:pt>
                <c:pt idx="6">
                  <c:v>1</c:v>
                </c:pt>
                <c:pt idx="7">
                  <c:v>1</c:v>
                </c:pt>
                <c:pt idx="8">
                  <c:v>1</c:v>
                </c:pt>
                <c:pt idx="9">
                  <c:v>1</c:v>
                </c:pt>
                <c:pt idx="10">
                  <c:v>2</c:v>
                </c:pt>
              </c:numCache>
            </c:numRef>
          </c:val>
          <c:extLst>
            <c:ext xmlns:c16="http://schemas.microsoft.com/office/drawing/2014/chart" uri="{C3380CC4-5D6E-409C-BE32-E72D297353CC}">
              <c16:uniqueId val="{00000000-1B89-488D-817F-62AA41A839A1}"/>
            </c:ext>
          </c:extLst>
        </c:ser>
        <c:dLbls>
          <c:showLegendKey val="0"/>
          <c:showVal val="0"/>
          <c:showCatName val="0"/>
          <c:showSerName val="0"/>
          <c:showPercent val="0"/>
          <c:showBubbleSize val="0"/>
        </c:dLbls>
        <c:gapWidth val="219"/>
        <c:overlap val="-27"/>
        <c:axId val="605398792"/>
        <c:axId val="605400232"/>
      </c:barChart>
      <c:catAx>
        <c:axId val="605398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00232"/>
        <c:crosses val="autoZero"/>
        <c:auto val="1"/>
        <c:lblAlgn val="ctr"/>
        <c:lblOffset val="100"/>
        <c:noMultiLvlLbl val="0"/>
      </c:catAx>
      <c:valAx>
        <c:axId val="605400232"/>
        <c:scaling>
          <c:orientation val="minMax"/>
          <c:max val="5"/>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3987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[Mortage_Tracking_System_Demo.xlsm]Pivots!pt_Leads_By_Source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Lead Sources Distribution (YTD)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Pivots!$H$3</c:f>
              <c:strCache>
                <c:ptCount val="1"/>
                <c:pt idx="0">
                  <c:v>Total</c:v>
                </c:pt>
              </c:strCache>
            </c:strRef>
          </c:tx>
          <c:spPr>
            <a:solidFill>
              <a:schemeClr val="accent1"/>
            </a:solidFill>
            <a:ln>
              <a:noFill/>
            </a:ln>
            <a:effectLst/>
          </c:spPr>
          <c:invertIfNegative val="0"/>
          <c:cat>
            <c:strRef>
              <c:f>Pivots!$G$4:$G$10</c:f>
              <c:strCache>
                <c:ptCount val="6"/>
                <c:pt idx="0">
                  <c:v>Family/Friend</c:v>
                </c:pt>
                <c:pt idx="1">
                  <c:v>Google</c:v>
                </c:pt>
                <c:pt idx="2">
                  <c:v>Past Client</c:v>
                </c:pt>
                <c:pt idx="3">
                  <c:v>Realtor</c:v>
                </c:pt>
                <c:pt idx="4">
                  <c:v>Social Media</c:v>
                </c:pt>
                <c:pt idx="5">
                  <c:v>Website</c:v>
                </c:pt>
              </c:strCache>
            </c:strRef>
          </c:cat>
          <c:val>
            <c:numRef>
              <c:f>Pivots!$H$4:$H$10</c:f>
              <c:numCache>
                <c:formatCode>General</c:formatCode>
                <c:ptCount val="6"/>
                <c:pt idx="0">
                  <c:v>5</c:v>
                </c:pt>
                <c:pt idx="1">
                  <c:v>4</c:v>
                </c:pt>
                <c:pt idx="2">
                  <c:v>7</c:v>
                </c:pt>
                <c:pt idx="3">
                  <c:v>11</c:v>
                </c:pt>
                <c:pt idx="4">
                  <c:v>2</c:v>
                </c:pt>
                <c:pt idx="5">
                  <c:v>6</c:v>
                </c:pt>
              </c:numCache>
            </c:numRef>
          </c:val>
          <c:extLst>
            <c:ext xmlns:c16="http://schemas.microsoft.com/office/drawing/2014/chart" uri="{C3380CC4-5D6E-409C-BE32-E72D297353CC}">
              <c16:uniqueId val="{00000000-D7D0-489C-ADCB-7D439C10F788}"/>
            </c:ext>
          </c:extLst>
        </c:ser>
        <c:dLbls>
          <c:showLegendKey val="0"/>
          <c:showVal val="0"/>
          <c:showCatName val="0"/>
          <c:showSerName val="0"/>
          <c:showPercent val="0"/>
          <c:showBubbleSize val="0"/>
        </c:dLbls>
        <c:gapWidth val="219"/>
        <c:overlap val="-27"/>
        <c:axId val="512594424"/>
        <c:axId val="512591904"/>
      </c:barChart>
      <c:catAx>
        <c:axId val="512594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91904"/>
        <c:crosses val="autoZero"/>
        <c:auto val="1"/>
        <c:lblAlgn val="ctr"/>
        <c:lblOffset val="100"/>
        <c:noMultiLvlLbl val="0"/>
      </c:catAx>
      <c:valAx>
        <c:axId val="512591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94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[Mortage_Tracking_System_Demo.xlsm]Pivots!pt_Funded_Volume_By_Month</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Funded Volume by Month (YTD)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Pivots!$E$27</c:f>
              <c:strCache>
                <c:ptCount val="1"/>
                <c:pt idx="0">
                  <c:v>Total</c:v>
                </c:pt>
              </c:strCache>
            </c:strRef>
          </c:tx>
          <c:spPr>
            <a:solidFill>
              <a:schemeClr val="accent1"/>
            </a:solidFill>
            <a:ln>
              <a:noFill/>
            </a:ln>
            <a:effectLst/>
          </c:spPr>
          <c:invertIfNegative val="0"/>
          <c:cat>
            <c:multiLvlStrRef>
              <c:f>Pivots!$D$28:$D$37</c:f>
              <c:multiLvlStrCache>
                <c:ptCount val="8"/>
                <c:lvl>
                  <c:pt idx="0">
                    <c:v>Feb</c:v>
                  </c:pt>
                  <c:pt idx="1">
                    <c:v>Mar</c:v>
                  </c:pt>
                  <c:pt idx="2">
                    <c:v>Apr</c:v>
                  </c:pt>
                  <c:pt idx="3">
                    <c:v>May</c:v>
                  </c:pt>
                  <c:pt idx="4">
                    <c:v>Jun</c:v>
                  </c:pt>
                  <c:pt idx="5">
                    <c:v>Jul</c:v>
                  </c:pt>
                  <c:pt idx="6">
                    <c:v>Aug</c:v>
                  </c:pt>
                  <c:pt idx="7">
                    <c:v>Sep</c:v>
                  </c:pt>
                </c:lvl>
                <c:lvl>
                  <c:pt idx="0">
                    <c:v>2025</c:v>
                  </c:pt>
                </c:lvl>
              </c:multiLvlStrCache>
            </c:multiLvlStrRef>
          </c:cat>
          <c:val>
            <c:numRef>
              <c:f>Pivots!$E$28:$E$37</c:f>
              <c:numCache>
                <c:formatCode>[$$-409]#,##0;[Red][$$-409]#,##0</c:formatCode>
                <c:ptCount val="8"/>
                <c:pt idx="0">
                  <c:v>250000</c:v>
                </c:pt>
                <c:pt idx="1">
                  <c:v>1050000</c:v>
                </c:pt>
                <c:pt idx="2">
                  <c:v>600000</c:v>
                </c:pt>
                <c:pt idx="3">
                  <c:v>300000</c:v>
                </c:pt>
                <c:pt idx="4">
                  <c:v>50000</c:v>
                </c:pt>
                <c:pt idx="5">
                  <c:v>100000</c:v>
                </c:pt>
                <c:pt idx="6">
                  <c:v>1065000</c:v>
                </c:pt>
                <c:pt idx="7">
                  <c:v>360000</c:v>
                </c:pt>
              </c:numCache>
            </c:numRef>
          </c:val>
          <c:extLst>
            <c:ext xmlns:c16="http://schemas.microsoft.com/office/drawing/2014/chart" uri="{C3380CC4-5D6E-409C-BE32-E72D297353CC}">
              <c16:uniqueId val="{00000000-829A-455C-9F44-D6BD90095A98}"/>
            </c:ext>
          </c:extLst>
        </c:ser>
        <c:dLbls>
          <c:dLblPos val="outEnd"/>
          <c:showLegendKey val="0"/>
          <c:showVal val="0"/>
          <c:showCatName val="0"/>
          <c:showSerName val="0"/>
          <c:showPercent val="0"/>
          <c:showBubbleSize val="0"/>
        </c:dLbls>
        <c:gapWidth val="219"/>
        <c:overlap val="-27"/>
        <c:axId val="517156024"/>
        <c:axId val="517152784"/>
      </c:barChart>
      <c:catAx>
        <c:axId val="517156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52784"/>
        <c:crosses val="autoZero"/>
        <c:auto val="1"/>
        <c:lblAlgn val="ctr"/>
        <c:lblOffset val="100"/>
        <c:noMultiLvlLbl val="0"/>
      </c:catAx>
      <c:valAx>
        <c:axId val="517152784"/>
        <c:scaling>
          <c:orientation val="minMax"/>
        </c:scaling>
        <c:delete val="0"/>
        <c:axPos val="l"/>
        <c:numFmt formatCode="[$$-409]#,##0;[Red][$$-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56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[Mortage_Tracking_System_Demo.xlsm]Pivots!pt_Funded_Deals_By_Month</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Funded Deals by Month (YTD)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Pivots!$B$24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Pivots!$A$25:$A$34</c:f>
              <c:multiLvlStrCache>
                <c:ptCount val="8"/>
                <c:lvl>
                  <c:pt idx="0">
                    <c:v>Feb</c:v>
                  </c:pt>
                  <c:pt idx="1">
                    <c:v>Mar</c:v>
                  </c:pt>
                  <c:pt idx="2">
                    <c:v>Apr</c:v>
                  </c:pt>
                  <c:pt idx="3">
                    <c:v>May</c:v>
                  </c:pt>
                  <c:pt idx="4">
                    <c:v>Jun</c:v>
                  </c:pt>
                  <c:pt idx="5">
                    <c:v>Jul</c:v>
                  </c:pt>
                  <c:pt idx="6">
                    <c:v>Aug</c:v>
                  </c:pt>
                  <c:pt idx="7">
                    <c:v>Sep</c:v>
                  </c:pt>
                </c:lvl>
                <c:lvl>
                  <c:pt idx="0">
                    <c:v>2025</c:v>
                  </c:pt>
                </c:lvl>
              </c:multiLvlStrCache>
            </c:multiLvlStrRef>
          </c:cat>
          <c:val>
            <c:numRef>
              <c:f>Pivots!$B$25:$B$34</c:f>
              <c:numCache>
                <c:formatCode>General</c:formatCode>
                <c:ptCount val="8"/>
                <c:pt idx="0">
                  <c:v>1</c:v>
                </c:pt>
                <c:pt idx="1">
                  <c:v>2</c:v>
                </c:pt>
                <c:pt idx="2">
                  <c:v>1</c:v>
                </c:pt>
                <c:pt idx="3">
                  <c:v>2</c:v>
                </c:pt>
                <c:pt idx="4">
                  <c:v>1</c:v>
                </c:pt>
                <c:pt idx="5">
                  <c:v>1</c:v>
                </c:pt>
                <c:pt idx="6">
                  <c:v>2</c:v>
                </c:pt>
                <c:pt idx="7">
                  <c:v>1</c:v>
                </c:pt>
              </c:numCache>
            </c:numRef>
          </c:val>
          <c:extLst>
            <c:ext xmlns:c16="http://schemas.microsoft.com/office/drawing/2014/chart" uri="{C3380CC4-5D6E-409C-BE32-E72D297353CC}">
              <c16:uniqueId val="{00000000-F5ED-4DCC-9200-149C87AF9BEA}"/>
            </c:ext>
          </c:extLst>
        </c:ser>
        <c:dLbls>
          <c:dLblPos val="outEnd"/>
          <c:showLegendKey val="0"/>
          <c:showVal val="1"/>
          <c:showCatName val="0"/>
          <c:showSerName val="0"/>
          <c:showPercent val="0"/>
          <c:showBubbleSize val="0"/>
        </c:dLbls>
        <c:gapWidth val="219"/>
        <c:overlap val="-27"/>
        <c:axId val="504627152"/>
        <c:axId val="504630392"/>
      </c:barChart>
      <c:catAx>
        <c:axId val="50462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30392"/>
        <c:crosses val="autoZero"/>
        <c:auto val="1"/>
        <c:lblAlgn val="ctr"/>
        <c:lblOffset val="100"/>
        <c:noMultiLvlLbl val="0"/>
      </c:catAx>
      <c:valAx>
        <c:axId val="5046303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2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[Mortage_Tracking_System_Demo.xlsm]Pivots!pt_Funded_By_Referral_Source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Funded Deals by Referral Source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Pivots!$H$27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Pivots!$G$28:$G$34</c:f>
              <c:strCache>
                <c:ptCount val="6"/>
                <c:pt idx="0">
                  <c:v>Family/Friend</c:v>
                </c:pt>
                <c:pt idx="1">
                  <c:v>Google</c:v>
                </c:pt>
                <c:pt idx="2">
                  <c:v>Past Client</c:v>
                </c:pt>
                <c:pt idx="3">
                  <c:v>Realtor</c:v>
                </c:pt>
                <c:pt idx="4">
                  <c:v>Social Media</c:v>
                </c:pt>
                <c:pt idx="5">
                  <c:v>Website</c:v>
                </c:pt>
              </c:strCache>
            </c:strRef>
          </c:cat>
          <c:val>
            <c:numRef>
              <c:f>Pivots!$H$28:$H$34</c:f>
              <c:numCache>
                <c:formatCode>General</c:formatCode>
                <c:ptCount val="6"/>
                <c:pt idx="0">
                  <c:v>1</c:v>
                </c:pt>
                <c:pt idx="1">
                  <c:v>1</c:v>
                </c:pt>
                <c:pt idx="2">
                  <c:v>4</c:v>
                </c:pt>
                <c:pt idx="3">
                  <c:v>2</c:v>
                </c:pt>
                <c:pt idx="4">
                  <c:v>1</c:v>
                </c:pt>
                <c:pt idx="5">
                  <c:v>2</c:v>
                </c:pt>
              </c:numCache>
            </c:numRef>
          </c:val>
          <c:extLst>
            <c:ext xmlns:c16="http://schemas.microsoft.com/office/drawing/2014/chart" uri="{C3380CC4-5D6E-409C-BE32-E72D297353CC}">
              <c16:uniqueId val="{00000000-5838-4550-B958-21FEF6F2F1DB}"/>
            </c:ext>
          </c:extLst>
        </c:ser>
        <c:dLbls>
          <c:dLblPos val="outEnd"/>
          <c:showLegendKey val="0"/>
          <c:showVal val="1"/>
          <c:showCatName val="0"/>
          <c:showSerName val="0"/>
          <c:showPercent val="0"/>
          <c:showBubbleSize val="0"/>
        </c:dLbls>
        <c:gapWidth val="219"/>
        <c:overlap val="-27"/>
        <c:axId val="609254744"/>
        <c:axId val="609262664"/>
      </c:barChart>
      <c:catAx>
        <c:axId val="609254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62664"/>
        <c:crosses val="autoZero"/>
        <c:auto val="1"/>
        <c:lblAlgn val="ctr"/>
        <c:lblOffset val="100"/>
        <c:noMultiLvlLbl val="0"/>
      </c:catAx>
      <c:valAx>
        <c:axId val="6092626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54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Lender Mix (YTD)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Pivots!$H$55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Pivots!$G$56:$G$62</c:f>
              <c:strCache>
                <c:ptCount val="6"/>
                <c:pt idx="0">
                  <c:v>Credit Union</c:v>
                </c:pt>
                <c:pt idx="1">
                  <c:v>NBFC </c:v>
                </c:pt>
                <c:pt idx="2">
                  <c:v>Other</c:v>
                </c:pt>
                <c:pt idx="3">
                  <c:v>Private Lender</c:v>
                </c:pt>
                <c:pt idx="4">
                  <c:v>RFC Bank </c:v>
                </c:pt>
                <c:pt idx="5">
                  <c:v>SBSC Bank</c:v>
                </c:pt>
              </c:strCache>
            </c:strRef>
          </c:cat>
          <c:val>
            <c:numRef>
              <c:f>Pivots!$H$56:$H$62</c:f>
              <c:numCache>
                <c:formatCode>General</c:formatCode>
                <c:ptCount val="6"/>
                <c:pt idx="0">
                  <c:v>3</c:v>
                </c:pt>
                <c:pt idx="1">
                  <c:v>3</c:v>
                </c:pt>
                <c:pt idx="2">
                  <c:v>1</c:v>
                </c:pt>
                <c:pt idx="3">
                  <c:v>2</c:v>
                </c:pt>
                <c:pt idx="4">
                  <c:v>1</c:v>
                </c:pt>
                <c:pt idx="5">
                  <c:v>1</c:v>
                </c:pt>
              </c:numCache>
            </c:numRef>
          </c:val>
          <c:extLst>
            <c:ext xmlns:c16="http://schemas.microsoft.com/office/drawing/2014/chart" uri="{C3380CC4-5D6E-409C-BE32-E72D297353CC}">
              <c16:uniqueId val="{00000000-E76E-4E25-861F-18FA8CF947C3}"/>
            </c:ext>
          </c:extLst>
        </c:ser>
        <c:dLbls>
          <c:dLblPos val="outEnd"/>
          <c:showLegendKey val="0"/>
          <c:showVal val="1"/>
          <c:showCatName val="0"/>
          <c:showSerName val="0"/>
          <c:showPercent val="0"/>
          <c:showBubbleSize val="0"/>
        </c:dLbls>
        <c:gapWidth val="219"/>
        <c:overlap val="-27"/>
        <c:axId val="609278504"/>
        <c:axId val="609280304"/>
      </c:barChart>
      <c:catAx>
        <c:axId val="609278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80304"/>
        <c:crosses val="autoZero"/>
        <c:auto val="1"/>
        <c:lblAlgn val="ctr"/>
        <c:lblOffset val="100"/>
        <c:noMultiLvlLbl val="0"/>
      </c:catAx>
      <c:valAx>
        <c:axId val="609280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78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[Mortage_Tracking_System_Demo.xlsm]Pivots!pt_Live_By_Source</c:name>
    <c:fmtId val="9"/>
  </c:pivotSource>
  <c:chart>
    <c:title>
      <c:layout>
        <c:manualLayout>
          <c:xMode val="edge"/>
          <c:yMode val="edge"/>
          <c:x val="0.43839285714285714"/>
          <c:y val="3.21931521532022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Pivots!$K$4</c:f>
              <c:strCache>
                <c:ptCount val="1"/>
                <c:pt idx="0">
                  <c:v>Total</c:v>
                </c:pt>
              </c:strCache>
            </c:strRef>
          </c:tx>
          <c:spPr>
            <a:solidFill>
              <a:schemeClr val="accent1"/>
            </a:solidFill>
            <a:ln>
              <a:noFill/>
            </a:ln>
            <a:effectLst/>
          </c:spPr>
          <c:invertIfNegative val="0"/>
          <c:cat>
            <c:strRef>
              <c:f>Pivots!$J$5:$J$11</c:f>
              <c:strCache>
                <c:ptCount val="6"/>
                <c:pt idx="0">
                  <c:v>Family/Friend</c:v>
                </c:pt>
                <c:pt idx="1">
                  <c:v>Google</c:v>
                </c:pt>
                <c:pt idx="2">
                  <c:v>Past Client</c:v>
                </c:pt>
                <c:pt idx="3">
                  <c:v>Realtor</c:v>
                </c:pt>
                <c:pt idx="4">
                  <c:v>Social Media</c:v>
                </c:pt>
                <c:pt idx="5">
                  <c:v>Website</c:v>
                </c:pt>
              </c:strCache>
            </c:strRef>
          </c:cat>
          <c:val>
            <c:numRef>
              <c:f>Pivots!$K$5:$K$11</c:f>
              <c:numCache>
                <c:formatCode>General</c:formatCode>
                <c:ptCount val="6"/>
                <c:pt idx="0">
                  <c:v>2</c:v>
                </c:pt>
                <c:pt idx="1">
                  <c:v>1</c:v>
                </c:pt>
                <c:pt idx="2">
                  <c:v>3</c:v>
                </c:pt>
                <c:pt idx="3">
                  <c:v>4</c:v>
                </c:pt>
                <c:pt idx="4">
                  <c:v>1</c:v>
                </c:pt>
                <c:pt idx="5">
                  <c:v>3</c:v>
                </c:pt>
              </c:numCache>
            </c:numRef>
          </c:val>
          <c:extLst>
            <c:ext xmlns:c16="http://schemas.microsoft.com/office/drawing/2014/chart" uri="{C3380CC4-5D6E-409C-BE32-E72D297353CC}">
              <c16:uniqueId val="{00000000-4781-4E8E-980C-A7D97E72D710}"/>
            </c:ext>
          </c:extLst>
        </c:ser>
        <c:dLbls>
          <c:showLegendKey val="0"/>
          <c:showVal val="0"/>
          <c:showCatName val="0"/>
          <c:showSerName val="0"/>
          <c:showPercent val="0"/>
          <c:showBubbleSize val="0"/>
        </c:dLbls>
        <c:gapWidth val="219"/>
        <c:overlap val="-27"/>
        <c:axId val="611201720"/>
        <c:axId val="611200640"/>
      </c:barChart>
      <c:catAx>
        <c:axId val="611201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200640"/>
        <c:crosses val="autoZero"/>
        <c:auto val="1"/>
        <c:lblAlgn val="ctr"/>
        <c:lblOffset val="100"/>
        <c:noMultiLvlLbl val="0"/>
      </c:catAx>
      <c:valAx>
        <c:axId val="6112006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201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314325</xdr:colOff>
      <xdr:row>4</xdr:row>
      <xdr:rowOff>66675</xdr:rowOff>
    </xdr:from>
    <xdr:to>
      <xdr:col>3</xdr:col>
      <xdr:colOff>238125</xdr:colOff>
      <xdr:row>18</xdr:row>
      <xdr:rowOff>157163</xdr:rowOff>
    </xdr:to>
    <xdr:graphicFrame macro="">
      <xdr:nvGraphicFramePr>
        <xdr:cNvPr id="2" name="ch_Leads_YTD">
          <a:extLst>
            <a:ext uri="{FF2B5EF4-FFF2-40B4-BE49-F238E27FC236}">
              <a16:creationId xmlns:a16="http://schemas.microsoft.com/office/drawing/2014/main" id="{AB32EBC5-3905-4DF9-B11F-2FE31F0D5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371475</xdr:colOff>
      <xdr:row>4</xdr:row>
      <xdr:rowOff>57149</xdr:rowOff>
    </xdr:from>
    <xdr:to>
      <xdr:col>9</xdr:col>
      <xdr:colOff>9525</xdr:colOff>
      <xdr:row>18</xdr:row>
      <xdr:rowOff>142874</xdr:rowOff>
    </xdr:to>
    <xdr:graphicFrame macro="">
      <xdr:nvGraphicFramePr>
        <xdr:cNvPr id="3" name="pt_Live_By_Month">
          <a:extLst>
            <a:ext uri="{FF2B5EF4-FFF2-40B4-BE49-F238E27FC236}">
              <a16:creationId xmlns:a16="http://schemas.microsoft.com/office/drawing/2014/main" id="{395A02C5-8C0C-4BCF-BE3F-FA9F0D174E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304800</xdr:colOff>
      <xdr:row>19</xdr:row>
      <xdr:rowOff>114300</xdr:rowOff>
    </xdr:from>
    <xdr:to>
      <xdr:col>3</xdr:col>
      <xdr:colOff>266700</xdr:colOff>
      <xdr:row>30</xdr:row>
      <xdr:rowOff>61913</xdr:rowOff>
    </xdr:to>
    <xdr:graphicFrame macro="">
      <xdr:nvGraphicFramePr>
        <xdr:cNvPr id="4" name="Chart 3">
          <a:extLst>
            <a:ext uri="{FF2B5EF4-FFF2-40B4-BE49-F238E27FC236}">
              <a16:creationId xmlns:a16="http://schemas.microsoft.com/office/drawing/2014/main" id="{7918C1B1-09C6-454E-9838-8C460E581A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123825</xdr:colOff>
      <xdr:row>4</xdr:row>
      <xdr:rowOff>171450</xdr:rowOff>
    </xdr:from>
    <xdr:to>
      <xdr:col>12</xdr:col>
      <xdr:colOff>123825</xdr:colOff>
      <xdr:row>18</xdr:row>
      <xdr:rowOff>28575</xdr:rowOff>
    </xdr:to>
    <mc:AlternateContent xmlns:mc="http://schemas.openxmlformats.org/markup-compatibility/2006" xmlns:a14="http://schemas.microsoft.com/office/drawing/2010/main">
      <mc:Choice Requires="a14">
        <xdr:graphicFrame macro="">
          <xdr:nvGraphicFramePr>
            <xdr:cNvPr id="5" name="Referral Source">
              <a:extLst>
                <a:ext uri="{FF2B5EF4-FFF2-40B4-BE49-F238E27FC236}">
                  <a16:creationId xmlns:a16="http://schemas.microsoft.com/office/drawing/2014/main" id="{A517FA94-941C-2BB7-BBF4-9F857FCD3977}"/>
                </a:ext>
              </a:extLst>
            </xdr:cNvPr>
            <xdr:cNvGraphicFramePr/>
          </xdr:nvGraphicFramePr>
          <xdr:xfrm>
            <a:off x="0" y="0"/>
            <a:ext cx="0" cy="0"/>
          </xdr:xfrm>
          <a:graphic>
            <a:graphicData uri="http://schemas.microsoft.com/office/drawing/2010/slicer">
              <sle:slicer xmlns:sle="http://schemas.microsoft.com/office/drawing/2010/slicer" name="Referral Source"/>
            </a:graphicData>
          </a:graphic>
        </xdr:graphicFrame>
      </mc:Choice>
      <mc:Fallback xmlns="">
        <xdr:sp macro="" textlink="">
          <xdr:nvSpPr>
            <xdr:cNvPr id="0" name=""/>
            <xdr:cNvSpPr>
              <a:spLocks noTextEdit="1"/>
            </xdr:cNvSpPr>
          </xdr:nvSpPr>
          <xdr:spPr>
            <a:xfrm>
              <a:off x="6724650" y="9334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447674</xdr:colOff>
      <xdr:row>0</xdr:row>
      <xdr:rowOff>171450</xdr:rowOff>
    </xdr:from>
    <xdr:to>
      <xdr:col>6</xdr:col>
      <xdr:colOff>523875</xdr:colOff>
      <xdr:row>2</xdr:row>
      <xdr:rowOff>104775</xdr:rowOff>
    </xdr:to>
    <xdr:sp macro="[0]!RefreshAll" textlink="">
      <xdr:nvSpPr>
        <xdr:cNvPr id="7" name="Rectangle 6">
          <a:extLst>
            <a:ext uri="{FF2B5EF4-FFF2-40B4-BE49-F238E27FC236}">
              <a16:creationId xmlns:a16="http://schemas.microsoft.com/office/drawing/2014/main" id="{45741EDA-0CFD-6C7A-B1E2-97AD332B5B84}"/>
            </a:ext>
          </a:extLst>
        </xdr:cNvPr>
        <xdr:cNvSpPr/>
      </xdr:nvSpPr>
      <xdr:spPr>
        <a:xfrm>
          <a:off x="4000499" y="171450"/>
          <a:ext cx="1295401" cy="31432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a:t>Refresh Dashboard</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19049</xdr:colOff>
      <xdr:row>7</xdr:row>
      <xdr:rowOff>66675</xdr:rowOff>
    </xdr:from>
    <xdr:to>
      <xdr:col>1</xdr:col>
      <xdr:colOff>590549</xdr:colOff>
      <xdr:row>17</xdr:row>
      <xdr:rowOff>114300</xdr:rowOff>
    </xdr:to>
    <xdr:graphicFrame macro="">
      <xdr:nvGraphicFramePr>
        <xdr:cNvPr id="2" name="Chart 1">
          <a:extLst>
            <a:ext uri="{FF2B5EF4-FFF2-40B4-BE49-F238E27FC236}">
              <a16:creationId xmlns:a16="http://schemas.microsoft.com/office/drawing/2014/main" id="{72FF7AF5-5107-4486-9032-43971EBC22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733425</xdr:colOff>
      <xdr:row>6</xdr:row>
      <xdr:rowOff>180975</xdr:rowOff>
    </xdr:from>
    <xdr:to>
      <xdr:col>3</xdr:col>
      <xdr:colOff>238125</xdr:colOff>
      <xdr:row>20</xdr:row>
      <xdr:rowOff>38100</xdr:rowOff>
    </xdr:to>
    <xdr:graphicFrame macro="">
      <xdr:nvGraphicFramePr>
        <xdr:cNvPr id="3" name="Chart 2">
          <a:extLst>
            <a:ext uri="{FF2B5EF4-FFF2-40B4-BE49-F238E27FC236}">
              <a16:creationId xmlns:a16="http://schemas.microsoft.com/office/drawing/2014/main" id="{DE6B4FBD-B8F3-4B1F-95DA-4A4DDED22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285750</xdr:colOff>
      <xdr:row>7</xdr:row>
      <xdr:rowOff>38100</xdr:rowOff>
    </xdr:from>
    <xdr:to>
      <xdr:col>5</xdr:col>
      <xdr:colOff>142875</xdr:colOff>
      <xdr:row>17</xdr:row>
      <xdr:rowOff>61913</xdr:rowOff>
    </xdr:to>
    <xdr:graphicFrame macro="">
      <xdr:nvGraphicFramePr>
        <xdr:cNvPr id="4" name="Chart 3">
          <a:extLst>
            <a:ext uri="{FF2B5EF4-FFF2-40B4-BE49-F238E27FC236}">
              <a16:creationId xmlns:a16="http://schemas.microsoft.com/office/drawing/2014/main" id="{F706D556-7E97-48DA-8E64-71AB896721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257175</xdr:colOff>
      <xdr:row>7</xdr:row>
      <xdr:rowOff>0</xdr:rowOff>
    </xdr:from>
    <xdr:to>
      <xdr:col>7</xdr:col>
      <xdr:colOff>476250</xdr:colOff>
      <xdr:row>16</xdr:row>
      <xdr:rowOff>171450</xdr:rowOff>
    </xdr:to>
    <xdr:graphicFrame macro="">
      <xdr:nvGraphicFramePr>
        <xdr:cNvPr id="5" name="Chart 4">
          <a:extLst>
            <a:ext uri="{FF2B5EF4-FFF2-40B4-BE49-F238E27FC236}">
              <a16:creationId xmlns:a16="http://schemas.microsoft.com/office/drawing/2014/main" id="{B86DDB48-DA19-4C6F-9B43-D408004BB5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1524000</xdr:colOff>
      <xdr:row>20</xdr:row>
      <xdr:rowOff>104775</xdr:rowOff>
    </xdr:from>
    <xdr:to>
      <xdr:col>3</xdr:col>
      <xdr:colOff>342900</xdr:colOff>
      <xdr:row>33</xdr:row>
      <xdr:rowOff>152400</xdr:rowOff>
    </xdr:to>
    <mc:AlternateContent xmlns:mc="http://schemas.openxmlformats.org/markup-compatibility/2006" xmlns:a14="http://schemas.microsoft.com/office/drawing/2010/main">
      <mc:Choice Requires="a14">
        <xdr:graphicFrame macro="">
          <xdr:nvGraphicFramePr>
            <xdr:cNvPr id="6" name="Referral Source 1">
              <a:extLst>
                <a:ext uri="{FF2B5EF4-FFF2-40B4-BE49-F238E27FC236}">
                  <a16:creationId xmlns:a16="http://schemas.microsoft.com/office/drawing/2014/main" id="{993E8AFE-AB8D-DB22-450B-07440EA0C8EF}"/>
                </a:ext>
              </a:extLst>
            </xdr:cNvPr>
            <xdr:cNvGraphicFramePr/>
          </xdr:nvGraphicFramePr>
          <xdr:xfrm>
            <a:off x="0" y="0"/>
            <a:ext cx="0" cy="0"/>
          </xdr:xfrm>
          <a:graphic>
            <a:graphicData uri="http://schemas.microsoft.com/office/drawing/2010/slicer">
              <sle:slicer xmlns:sle="http://schemas.microsoft.com/office/drawing/2010/slicer" name="Referral Source 1"/>
            </a:graphicData>
          </a:graphic>
        </xdr:graphicFrame>
      </mc:Choice>
      <mc:Fallback xmlns="">
        <xdr:sp macro="" textlink="">
          <xdr:nvSpPr>
            <xdr:cNvPr id="0" name=""/>
            <xdr:cNvSpPr>
              <a:spLocks noTextEdit="1"/>
            </xdr:cNvSpPr>
          </xdr:nvSpPr>
          <xdr:spPr>
            <a:xfrm>
              <a:off x="3648075" y="40671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485775</xdr:colOff>
      <xdr:row>20</xdr:row>
      <xdr:rowOff>104775</xdr:rowOff>
    </xdr:from>
    <xdr:to>
      <xdr:col>4</xdr:col>
      <xdr:colOff>676275</xdr:colOff>
      <xdr:row>33</xdr:row>
      <xdr:rowOff>152400</xdr:rowOff>
    </xdr:to>
    <mc:AlternateContent xmlns:mc="http://schemas.openxmlformats.org/markup-compatibility/2006" xmlns:a14="http://schemas.microsoft.com/office/drawing/2010/main">
      <mc:Choice Requires="a14">
        <xdr:graphicFrame macro="">
          <xdr:nvGraphicFramePr>
            <xdr:cNvPr id="7" name="Years (Closing Date)">
              <a:extLst>
                <a:ext uri="{FF2B5EF4-FFF2-40B4-BE49-F238E27FC236}">
                  <a16:creationId xmlns:a16="http://schemas.microsoft.com/office/drawing/2014/main" id="{B8F32356-BEDA-53D5-525B-23043DCE4A79}"/>
                </a:ext>
              </a:extLst>
            </xdr:cNvPr>
            <xdr:cNvGraphicFramePr/>
          </xdr:nvGraphicFramePr>
          <xdr:xfrm>
            <a:off x="0" y="0"/>
            <a:ext cx="0" cy="0"/>
          </xdr:xfrm>
          <a:graphic>
            <a:graphicData uri="http://schemas.microsoft.com/office/drawing/2010/slicer">
              <sle:slicer xmlns:sle="http://schemas.microsoft.com/office/drawing/2010/slicer" name="Years (Closing Date)"/>
            </a:graphicData>
          </a:graphic>
        </xdr:graphicFrame>
      </mc:Choice>
      <mc:Fallback xmlns="">
        <xdr:sp macro="" textlink="">
          <xdr:nvSpPr>
            <xdr:cNvPr id="0" name=""/>
            <xdr:cNvSpPr>
              <a:spLocks noTextEdit="1"/>
            </xdr:cNvSpPr>
          </xdr:nvSpPr>
          <xdr:spPr>
            <a:xfrm>
              <a:off x="5619750" y="40671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0</xdr:row>
      <xdr:rowOff>0</xdr:rowOff>
    </xdr:from>
    <xdr:to>
      <xdr:col>3</xdr:col>
      <xdr:colOff>1628775</xdr:colOff>
      <xdr:row>1</xdr:row>
      <xdr:rowOff>19050</xdr:rowOff>
    </xdr:to>
    <xdr:sp macro="[0]!RefreshAll" textlink="">
      <xdr:nvSpPr>
        <xdr:cNvPr id="8" name="Rectangle 7">
          <a:extLst>
            <a:ext uri="{FF2B5EF4-FFF2-40B4-BE49-F238E27FC236}">
              <a16:creationId xmlns:a16="http://schemas.microsoft.com/office/drawing/2014/main" id="{048F9E85-BDF9-431A-BD48-D8F223575807}"/>
            </a:ext>
          </a:extLst>
        </xdr:cNvPr>
        <xdr:cNvSpPr/>
      </xdr:nvSpPr>
      <xdr:spPr>
        <a:xfrm>
          <a:off x="5133975" y="0"/>
          <a:ext cx="1628775" cy="31432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t>Refresh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180976</xdr:colOff>
      <xdr:row>9</xdr:row>
      <xdr:rowOff>109537</xdr:rowOff>
    </xdr:from>
    <xdr:to>
      <xdr:col>8</xdr:col>
      <xdr:colOff>47626</xdr:colOff>
      <xdr:row>22</xdr:row>
      <xdr:rowOff>19050</xdr:rowOff>
    </xdr:to>
    <xdr:graphicFrame macro="">
      <xdr:nvGraphicFramePr>
        <xdr:cNvPr id="6" name="Chart 5">
          <a:extLst>
            <a:ext uri="{FF2B5EF4-FFF2-40B4-BE49-F238E27FC236}">
              <a16:creationId xmlns:a16="http://schemas.microsoft.com/office/drawing/2014/main" id="{D38D407D-F2F7-5E4F-5431-1AA964C440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10" refreshedDate="46022.598123611111" createdVersion="8" refreshedVersion="8" minRefreshableVersion="3" recordCount="18" xr:uid="{25B756D5-DAC7-40C7-AF1F-268328298C87}">
  <cacheSource type="worksheet">
    <worksheetSource name="tbl_main_tracker"/>
  </cacheSource>
  <cacheFields count="15">
    <cacheField name="Client Name" numFmtId="0">
      <sharedItems/>
    </cacheField>
    <cacheField name="Referral Source" numFmtId="0">
      <sharedItems count="6">
        <s v="Realtor"/>
        <s v="Website"/>
        <s v="Past Client"/>
        <s v="Family/Friend"/>
        <s v="Google"/>
        <s v="Social Media"/>
      </sharedItems>
    </cacheField>
    <cacheField name="Referral Name" numFmtId="0">
      <sharedItems containsBlank="1"/>
    </cacheField>
    <cacheField name="Location" numFmtId="0">
      <sharedItems/>
    </cacheField>
    <cacheField name="Purpose" numFmtId="0">
      <sharedItems/>
    </cacheField>
    <cacheField name="Lender" numFmtId="0">
      <sharedItems count="6">
        <s v="RFC Bank "/>
        <s v="Credit Union"/>
        <s v="SBSC Bank"/>
        <s v="Private Lender"/>
        <s v="NBFC "/>
        <s v="Other"/>
      </sharedItems>
    </cacheField>
    <cacheField name="Mortgage Amount" numFmtId="0">
      <sharedItems containsSemiMixedTypes="0" containsString="0" containsNumber="1" containsInteger="1" minValue="10000" maxValue="3500000"/>
    </cacheField>
    <cacheField name="Trailer" numFmtId="0">
      <sharedItems count="2">
        <s v="Yes"/>
        <s v="No"/>
      </sharedItems>
    </cacheField>
    <cacheField name="MPP" numFmtId="0">
      <sharedItems count="2">
        <s v="Yes"/>
        <s v="No"/>
      </sharedItems>
    </cacheField>
    <cacheField name="Status" numFmtId="0">
      <sharedItems count="2">
        <s v="Committed"/>
        <s v="Funded"/>
      </sharedItems>
    </cacheField>
    <cacheField name="Closing Date" numFmtId="14">
      <sharedItems containsNonDate="0" containsDate="1" containsString="0" containsBlank="1" minDate="2025-02-25T00:00:00" maxDate="2025-09-04T00:00:00" count="13">
        <m/>
        <d v="2025-08-02T00:00:00"/>
        <d v="2025-06-03T00:00:00"/>
        <d v="2025-02-25T00:00:00"/>
        <d v="2025-08-29T00:00:00"/>
        <d v="2025-03-03T00:00:00"/>
        <d v="2025-04-06T00:00:00"/>
        <d v="2025-07-15T00:00:00"/>
        <d v="2025-05-15T00:00:00"/>
        <d v="2025-03-18T00:00:00"/>
        <d v="2025-05-30T00:00:00"/>
        <d v="2025-09-02T00:00:00"/>
        <d v="2025-09-03T00:00:00" u="1"/>
      </sharedItems>
      <fieldGroup par="14"/>
    </cacheField>
    <cacheField name="Gift Card Value" numFmtId="166">
      <sharedItems containsString="0" containsBlank="1" containsNumber="1" containsInteger="1" minValue="0" maxValue="75"/>
    </cacheField>
    <cacheField name="BPS Expected" numFmtId="0">
      <sharedItems containsSemiMixedTypes="0" containsString="0" containsNumber="1" containsInteger="1" minValue="80" maxValue="150"/>
    </cacheField>
    <cacheField name="Months (Closing Date)" numFmtId="0" databaseField="0">
      <fieldGroup base="10">
        <rangePr groupBy="months" startDate="2025-02-25T00:00:00" endDate="2025-09-03T00:00:00"/>
        <groupItems count="14">
          <s v="&lt;2/25/2025"/>
          <s v="Jan"/>
          <s v="Feb"/>
          <s v="Mar"/>
          <s v="Apr"/>
          <s v="May"/>
          <s v="Jun"/>
          <s v="Jul"/>
          <s v="Aug"/>
          <s v="Sep"/>
          <s v="Oct"/>
          <s v="Nov"/>
          <s v="Dec"/>
          <s v="&gt;9/3/2025"/>
        </groupItems>
      </fieldGroup>
    </cacheField>
    <cacheField name="Years (Closing Date)" numFmtId="0" databaseField="0">
      <fieldGroup base="10">
        <rangePr groupBy="years" startDate="2025-02-25T00:00:00" endDate="2025-09-03T00:00:00"/>
        <groupItems count="3">
          <s v="&lt;2/25/2025"/>
          <s v="2025"/>
          <s v="&gt;9/3/2025"/>
        </groupItems>
      </fieldGroup>
    </cacheField>
  </cacheFields>
  <extLst>
    <ext xmlns:x14="http://schemas.microsoft.com/office/spreadsheetml/2009/9/main" uri="{725AE2AE-9491-48be-B2B4-4EB974FC3084}">
      <x14:pivotCacheDefinition pivotCacheId="20800200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10" refreshedDate="46022.598124305558" createdVersion="8" refreshedVersion="8" minRefreshableVersion="3" recordCount="35" xr:uid="{869DBF84-33EE-4DED-811F-148469DEB530}">
  <cacheSource type="worksheet">
    <worksheetSource name="tbl_leads"/>
  </cacheSource>
  <cacheFields count="8">
    <cacheField name="Lead Date" numFmtId="14">
      <sharedItems containsSemiMixedTypes="0" containsNonDate="0" containsDate="1" containsString="0" minDate="2025-01-12T00:00:00" maxDate="2025-12-03T00:00:00" count="39">
        <d v="2025-01-25T00:00:00"/>
        <d v="2025-03-02T00:00:00"/>
        <d v="2025-05-10T00:00:00"/>
        <d v="2025-08-04T00:00:00"/>
        <d v="2025-02-02T00:00:00"/>
        <d v="2025-09-19T00:00:00"/>
        <d v="2025-05-26T00:00:00"/>
        <d v="2025-07-30T00:00:00"/>
        <d v="2025-04-16T00:00:00"/>
        <d v="2025-06-20T00:00:00"/>
        <d v="2025-10-10T00:00:00"/>
        <d v="2025-10-15T00:00:00"/>
        <d v="2025-11-30T00:00:00"/>
        <d v="2025-11-09T00:00:00"/>
        <d v="2025-02-06T00:00:00"/>
        <d v="2025-07-17T00:00:00"/>
        <d v="2025-01-12T00:00:00"/>
        <d v="2025-06-09T00:00:00"/>
        <d v="2025-08-05T00:00:00"/>
        <d v="2025-03-22T00:00:00"/>
        <d v="2025-08-24T00:00:00"/>
        <d v="2025-02-07T00:00:00"/>
        <d v="2025-09-08T00:00:00"/>
        <d v="2025-03-11T00:00:00"/>
        <d v="2025-05-22T00:00:00"/>
        <d v="2025-06-04T00:00:00"/>
        <d v="2025-11-10T00:00:00"/>
        <d v="2025-10-31T00:00:00"/>
        <d v="2025-08-02T00:00:00"/>
        <d v="2025-07-06T00:00:00"/>
        <d v="2025-04-08T00:00:00"/>
        <d v="2025-05-17T00:00:00"/>
        <d v="2025-06-19T00:00:00"/>
        <d v="2025-01-14T00:00:00"/>
        <d v="2025-10-26T00:00:00"/>
        <d v="2025-10-27T00:00:00" u="1"/>
        <d v="2025-12-02T00:00:00" u="1"/>
        <d v="2025-10-28T00:00:00" u="1"/>
        <d v="2025-10-29T00:00:00" u="1"/>
      </sharedItems>
      <fieldGroup par="7"/>
    </cacheField>
    <cacheField name="Lead Name" numFmtId="0">
      <sharedItems/>
    </cacheField>
    <cacheField name="Lead Email" numFmtId="0">
      <sharedItems/>
    </cacheField>
    <cacheField name="Referral Source" numFmtId="0">
      <sharedItems count="6">
        <s v="Google"/>
        <s v="Past Client"/>
        <s v="Family/Friend"/>
        <s v="Social Media"/>
        <s v="Realtor"/>
        <s v="Website"/>
      </sharedItems>
    </cacheField>
    <cacheField name="Referral Name" numFmtId="0">
      <sharedItems containsBlank="1"/>
    </cacheField>
    <cacheField name="Went Live" numFmtId="0">
      <sharedItems containsBlank="1" count="2">
        <m/>
        <s v="Yes"/>
      </sharedItems>
    </cacheField>
    <cacheField name="Months (Lead Date)" numFmtId="0" databaseField="0">
      <fieldGroup base="0">
        <rangePr groupBy="months" startDate="2025-01-12T00:00:00" endDate="2025-12-01T00:00:00"/>
        <groupItems count="14">
          <s v="&lt;1/12/2025"/>
          <s v="Jan"/>
          <s v="Feb"/>
          <s v="Mar"/>
          <s v="Apr"/>
          <s v="May"/>
          <s v="Jun"/>
          <s v="Jul"/>
          <s v="Aug"/>
          <s v="Sep"/>
          <s v="Oct"/>
          <s v="Nov"/>
          <s v="Dec"/>
          <s v="&gt;12/1/2025"/>
        </groupItems>
      </fieldGroup>
    </cacheField>
    <cacheField name="Years (Lead Date)" numFmtId="0" databaseField="0">
      <fieldGroup base="0">
        <rangePr groupBy="years" startDate="2025-01-12T00:00:00" endDate="2025-12-01T00:00:00"/>
        <groupItems count="3">
          <s v="&lt;1/12/2025"/>
          <s v="2025"/>
          <s v="&gt;12/1/2025"/>
        </groupItems>
      </fieldGroup>
    </cacheField>
  </cacheFields>
  <extLst>
    <ext xmlns:x14="http://schemas.microsoft.com/office/spreadsheetml/2009/9/main" uri="{725AE2AE-9491-48be-B2B4-4EB974FC3084}">
      <x14:pivotCacheDefinition pivotCacheId="8685616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Arnab Kumar Choudhury"/>
    <x v="0"/>
    <s v="Ram Singh"/>
    <s v="South Zone"/>
    <s v="Refinance"/>
    <x v="0"/>
    <n v="55000"/>
    <x v="0"/>
    <x v="0"/>
    <x v="0"/>
    <x v="0"/>
    <m/>
    <n v="90"/>
  </r>
  <r>
    <s v="Santosh Jha"/>
    <x v="1"/>
    <m/>
    <s v="Other"/>
    <s v="Purchase "/>
    <x v="1"/>
    <n v="745000"/>
    <x v="0"/>
    <x v="1"/>
    <x v="1"/>
    <x v="1"/>
    <n v="0"/>
    <n v="100"/>
  </r>
  <r>
    <s v="Ritam Pandey"/>
    <x v="2"/>
    <s v="Ramji Singh"/>
    <s v="North Zone"/>
    <s v="HELOC"/>
    <x v="2"/>
    <n v="50000"/>
    <x v="0"/>
    <x v="0"/>
    <x v="1"/>
    <x v="2"/>
    <n v="75"/>
    <n v="88"/>
  </r>
  <r>
    <s v="Satya Srivas"/>
    <x v="3"/>
    <s v="Rohit Yadav"/>
    <s v="North Zone"/>
    <s v="Renewal"/>
    <x v="3"/>
    <n v="10000"/>
    <x v="1"/>
    <x v="1"/>
    <x v="0"/>
    <x v="0"/>
    <m/>
    <n v="140"/>
  </r>
  <r>
    <s v="S.K. Mansi"/>
    <x v="0"/>
    <s v="Aditya Choudhury"/>
    <s v="West Zone"/>
    <s v="Refinance"/>
    <x v="1"/>
    <n v="150000"/>
    <x v="0"/>
    <x v="0"/>
    <x v="0"/>
    <x v="0"/>
    <m/>
    <n v="105"/>
  </r>
  <r>
    <s v="Manoj Singh"/>
    <x v="2"/>
    <s v="Alok Kumar Yaadav"/>
    <s v="South Zone"/>
    <s v="Transfer "/>
    <x v="4"/>
    <n v="250000"/>
    <x v="0"/>
    <x v="1"/>
    <x v="1"/>
    <x v="3"/>
    <n v="50"/>
    <n v="130"/>
  </r>
  <r>
    <s v="Sachin Yadav"/>
    <x v="4"/>
    <m/>
    <s v="Other"/>
    <s v="Purchase "/>
    <x v="2"/>
    <n v="3500000"/>
    <x v="0"/>
    <x v="1"/>
    <x v="0"/>
    <x v="0"/>
    <m/>
    <n v="85"/>
  </r>
  <r>
    <s v="Ritesh Tiwari"/>
    <x v="0"/>
    <s v="Pritam Chouhan"/>
    <s v="East Zone"/>
    <s v="Refinance"/>
    <x v="3"/>
    <n v="320000"/>
    <x v="1"/>
    <x v="0"/>
    <x v="1"/>
    <x v="4"/>
    <n v="50"/>
    <n v="150"/>
  </r>
  <r>
    <s v="Ananya Kumari"/>
    <x v="5"/>
    <m/>
    <s v="South Zone"/>
    <s v="Purchase "/>
    <x v="0"/>
    <n v="800000"/>
    <x v="0"/>
    <x v="1"/>
    <x v="1"/>
    <x v="5"/>
    <n v="75"/>
    <n v="90"/>
  </r>
  <r>
    <s v="Nishu Chouhan"/>
    <x v="1"/>
    <m/>
    <s v="Central"/>
    <s v="Renewal"/>
    <x v="1"/>
    <n v="600000"/>
    <x v="0"/>
    <x v="0"/>
    <x v="1"/>
    <x v="6"/>
    <n v="0"/>
    <n v="95"/>
  </r>
  <r>
    <s v="Santoshi Chaturvedi"/>
    <x v="2"/>
    <s v="Parutosh Sekhawat"/>
    <s v="North Zone"/>
    <s v="Transfer "/>
    <x v="4"/>
    <n v="100000"/>
    <x v="1"/>
    <x v="1"/>
    <x v="1"/>
    <x v="7"/>
    <n v="0"/>
    <n v="125"/>
  </r>
  <r>
    <s v="Ram Mohan Sharma"/>
    <x v="0"/>
    <s v="Laxman Pratab Singh"/>
    <s v="West Zone"/>
    <s v="HELOC"/>
    <x v="2"/>
    <n v="35000"/>
    <x v="0"/>
    <x v="0"/>
    <x v="0"/>
    <x v="0"/>
    <m/>
    <n v="85"/>
  </r>
  <r>
    <s v="Jagdiswar Sahu"/>
    <x v="4"/>
    <m/>
    <s v="East Zone"/>
    <s v="Refinance"/>
    <x v="5"/>
    <n v="150000"/>
    <x v="1"/>
    <x v="1"/>
    <x v="1"/>
    <x v="8"/>
    <n v="25"/>
    <n v="135"/>
  </r>
  <r>
    <s v="Ashish Singh"/>
    <x v="5"/>
    <m/>
    <s v="Other"/>
    <s v="Purchase "/>
    <x v="2"/>
    <n v="16000"/>
    <x v="0"/>
    <x v="1"/>
    <x v="0"/>
    <x v="0"/>
    <m/>
    <n v="90"/>
  </r>
  <r>
    <s v="Rishu Kumar Pandey"/>
    <x v="2"/>
    <s v="Abhinav Singh"/>
    <s v="Central"/>
    <s v="Renewal"/>
    <x v="1"/>
    <n v="250000"/>
    <x v="0"/>
    <x v="0"/>
    <x v="1"/>
    <x v="9"/>
    <n v="25"/>
    <n v="110"/>
  </r>
  <r>
    <s v="Rahul Singh"/>
    <x v="0"/>
    <s v="Anish Kumar Pandey"/>
    <s v="South Zone"/>
    <s v="Transfer "/>
    <x v="3"/>
    <n v="150000"/>
    <x v="1"/>
    <x v="1"/>
    <x v="1"/>
    <x v="10"/>
    <n v="25"/>
    <n v="145"/>
  </r>
  <r>
    <s v="Roshni Pratap"/>
    <x v="1"/>
    <m/>
    <s v="North Zone"/>
    <s v="Purchase "/>
    <x v="0"/>
    <n v="3500000"/>
    <x v="0"/>
    <x v="1"/>
    <x v="0"/>
    <x v="0"/>
    <m/>
    <n v="80"/>
  </r>
  <r>
    <s v="Suraj Pratap Singh"/>
    <x v="3"/>
    <s v="Ravi Dhruv Thakur"/>
    <s v="Central"/>
    <s v="HELOC"/>
    <x v="4"/>
    <n v="360000"/>
    <x v="1"/>
    <x v="0"/>
    <x v="1"/>
    <x v="11"/>
    <n v="50"/>
    <n v="1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s v="Ravi Gupta"/>
    <s v="ravigupta@fakmail.com"/>
    <x v="0"/>
    <m/>
    <x v="0"/>
  </r>
  <r>
    <x v="1"/>
    <s v="Tanur Jain"/>
    <s v="tanurjain@fakmail.com"/>
    <x v="1"/>
    <s v="Sayam Rajveer Singh"/>
    <x v="1"/>
  </r>
  <r>
    <x v="2"/>
    <s v="Sameer Pandey"/>
    <s v="sameerpandey@fakmail.com"/>
    <x v="2"/>
    <s v="RajPritam Pandey"/>
    <x v="1"/>
  </r>
  <r>
    <x v="3"/>
    <s v="Alo Kumar"/>
    <s v="alokumar@fakmail.com"/>
    <x v="3"/>
    <m/>
    <x v="1"/>
  </r>
  <r>
    <x v="4"/>
    <s v="Rahul Singh"/>
    <s v="rahulsingh@fakmail.com"/>
    <x v="4"/>
    <s v="Laxman Kumar Shukla"/>
    <x v="0"/>
  </r>
  <r>
    <x v="5"/>
    <s v="Palak Kumari"/>
    <s v="palakkumari@fakmail.com"/>
    <x v="5"/>
    <m/>
    <x v="1"/>
  </r>
  <r>
    <x v="6"/>
    <s v="Parvati Sharma"/>
    <s v="parvatisharma@fakmail.com"/>
    <x v="1"/>
    <s v="Ayush Yadav"/>
    <x v="0"/>
  </r>
  <r>
    <x v="7"/>
    <s v="Swati Tiwari"/>
    <s v="swatitiwari@fakmail.com"/>
    <x v="2"/>
    <s v="Ankit Pandey"/>
    <x v="0"/>
  </r>
  <r>
    <x v="8"/>
    <s v="Tanya Kapoor"/>
    <s v="tanyakapoor@fakmail.com"/>
    <x v="4"/>
    <s v="Ankit Tiwari"/>
    <x v="1"/>
  </r>
  <r>
    <x v="9"/>
    <s v="Sonia Sharma"/>
    <s v="soniasharma@fakmail.com"/>
    <x v="5"/>
    <m/>
    <x v="0"/>
  </r>
  <r>
    <x v="10"/>
    <s v="Isha Gupta"/>
    <s v="ishagupta@fakmail.com"/>
    <x v="4"/>
    <s v="Raj Aditya Prakash"/>
    <x v="0"/>
  </r>
  <r>
    <x v="11"/>
    <s v="Ranvijay Singh"/>
    <s v="ranvijaysingh@fakmail.com"/>
    <x v="4"/>
    <s v="Keshav Dhanraj"/>
    <x v="0"/>
  </r>
  <r>
    <x v="12"/>
    <s v="Shiv Praksh Shukla"/>
    <s v="shivprakshshukla@fakmail.com"/>
    <x v="1"/>
    <s v="Monty Sachdewa"/>
    <x v="1"/>
  </r>
  <r>
    <x v="13"/>
    <s v="Aditya Nath Tripathi"/>
    <s v="adityanathtripathi@fakmail.com"/>
    <x v="0"/>
    <m/>
    <x v="0"/>
  </r>
  <r>
    <x v="14"/>
    <s v="Satyam Shukla"/>
    <s v="satyamshukla@fakmail.com"/>
    <x v="4"/>
    <s v="Manav Sharma"/>
    <x v="1"/>
  </r>
  <r>
    <x v="15"/>
    <s v="Rishi Mahajan Pandey"/>
    <s v="rishimahajanpandey@fakmail.com"/>
    <x v="5"/>
    <m/>
    <x v="0"/>
  </r>
  <r>
    <x v="16"/>
    <s v="Aditya Ranjan"/>
    <s v="adityaranjan@fakmail.com"/>
    <x v="4"/>
    <s v="Raju Jha"/>
    <x v="0"/>
  </r>
  <r>
    <x v="17"/>
    <s v="Khushi Jha"/>
    <s v="khushijha@fakmail.com"/>
    <x v="4"/>
    <s v="Satya Tripathi"/>
    <x v="0"/>
  </r>
  <r>
    <x v="18"/>
    <s v="Manik Choudhry"/>
    <s v="manikchoudhry@fakmail.com"/>
    <x v="1"/>
    <s v="Venkatesh Shukla"/>
    <x v="0"/>
  </r>
  <r>
    <x v="19"/>
    <s v="Rahul Pandy"/>
    <s v="rahulpandy@fakmail.com"/>
    <x v="4"/>
    <s v="Pritam Singh"/>
    <x v="1"/>
  </r>
  <r>
    <x v="20"/>
    <s v="Abhishek Pandey"/>
    <s v="abhishekpandey@fakmail.com"/>
    <x v="4"/>
    <s v="Aditya Pandit"/>
    <x v="0"/>
  </r>
  <r>
    <x v="21"/>
    <s v="Sidhant Avasthi"/>
    <s v="sidhantavasthi@fakmail.com"/>
    <x v="5"/>
    <m/>
    <x v="0"/>
  </r>
  <r>
    <x v="22"/>
    <s v="Sidhart Sharma"/>
    <s v="sidhartsharma@fakmail.com"/>
    <x v="2"/>
    <s v="Mohit Sharma"/>
    <x v="0"/>
  </r>
  <r>
    <x v="23"/>
    <s v="Devraj Rathod"/>
    <s v="devrajrathod@fakmail.com"/>
    <x v="1"/>
    <s v="Akash Yadav"/>
    <x v="1"/>
  </r>
  <r>
    <x v="24"/>
    <s v="Deshraj Jhakar"/>
    <s v="deshrajjhakar@fakmail.com"/>
    <x v="4"/>
    <s v="Abhinav Shukkla"/>
    <x v="0"/>
  </r>
  <r>
    <x v="25"/>
    <s v="Bhumika Tripathi"/>
    <s v="bhumikatripathi@fakmail.com"/>
    <x v="0"/>
    <m/>
    <x v="1"/>
  </r>
  <r>
    <x v="26"/>
    <s v="Sharmestha Sharma"/>
    <s v="sharmesthasharma@fakmail.com"/>
    <x v="2"/>
    <s v="Manish Kumar Singh"/>
    <x v="1"/>
  </r>
  <r>
    <x v="27"/>
    <s v="Janvi Kumari"/>
    <s v="janvikumari@fakmail.com"/>
    <x v="5"/>
    <m/>
    <x v="1"/>
  </r>
  <r>
    <x v="28"/>
    <s v="Satyam Singh"/>
    <s v="satyamsingh@fakmail.com"/>
    <x v="1"/>
    <s v="Ritesh Sharma"/>
    <x v="0"/>
  </r>
  <r>
    <x v="29"/>
    <s v="Adith Kumar Sing"/>
    <s v="adithkumarsing@fakmail.com"/>
    <x v="4"/>
    <s v="Himanshu Sharma"/>
    <x v="1"/>
  </r>
  <r>
    <x v="30"/>
    <s v="Rajesh Shaw"/>
    <s v="rajeshshaw@fakmail.com"/>
    <x v="0"/>
    <m/>
    <x v="0"/>
  </r>
  <r>
    <x v="31"/>
    <s v="Rajkumar Pandey"/>
    <s v="rajkumarpandey@fakmail.com"/>
    <x v="2"/>
    <s v="Harsh Pandey"/>
    <x v="0"/>
  </r>
  <r>
    <x v="32"/>
    <s v="Vivek Yadav"/>
    <s v="vivekyadav@fakmail.com"/>
    <x v="3"/>
    <m/>
    <x v="0"/>
  </r>
  <r>
    <x v="33"/>
    <s v="Swati Yadav"/>
    <s v="swatiyadav@fakmail.com"/>
    <x v="5"/>
    <m/>
    <x v="1"/>
  </r>
  <r>
    <x v="34"/>
    <s v="Samar Kumar Singh"/>
    <s v="samarkumarsingh@fakmail.com"/>
    <x v="1"/>
    <s v="Sahil Kumar Shukla"/>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71C918-9529-4286-86F9-B6AB86723C78}" name="pt_Total_Funded_Deals"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50:G51" firstHeaderRow="1" firstDataRow="1" firstDataCol="0" rowPageCount="1" colPageCount="1"/>
  <pivotFields count="15">
    <pivotField dataField="1" showAll="0"/>
    <pivotField showAll="0">
      <items count="7">
        <item x="3"/>
        <item x="4"/>
        <item x="2"/>
        <item x="0"/>
        <item x="5"/>
        <item x="1"/>
        <item t="default"/>
      </items>
    </pivotField>
    <pivotField showAll="0"/>
    <pivotField showAll="0"/>
    <pivotField showAll="0"/>
    <pivotField showAll="0"/>
    <pivotField showAll="0"/>
    <pivotField multipleItemSelectionAllowed="1"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Items count="1">
    <i/>
  </rowItems>
  <colItems count="1">
    <i/>
  </colItems>
  <pageFields count="1">
    <pageField fld="9" hier="-1"/>
  </pageFields>
  <dataFields count="1">
    <dataField name="Count of Client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F88F76-BCCC-48FA-8B81-1E0F0760825A}" name="pt_GiftCard_Spend"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4:D55" firstHeaderRow="1" firstDataRow="1" firstDataCol="0" rowPageCount="1" colPageCount="1"/>
  <pivotFields count="15">
    <pivotField showAll="0"/>
    <pivotField showAll="0">
      <items count="7">
        <item x="3"/>
        <item x="4"/>
        <item x="2"/>
        <item x="0"/>
        <item x="5"/>
        <item x="1"/>
        <item t="default"/>
      </items>
    </pivotField>
    <pivotField showAll="0"/>
    <pivotField showAll="0"/>
    <pivotField showAll="0"/>
    <pivotField showAll="0"/>
    <pivotField showAll="0"/>
    <pivotField multipleItemSelectionAllowed="1"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Items count="1">
    <i/>
  </rowItems>
  <colItems count="1">
    <i/>
  </colItems>
  <pageFields count="1">
    <pageField fld="9" hier="-1"/>
  </pageFields>
  <dataFields count="1">
    <dataField name="Sum of Gift Card Valu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A8103E-F398-42A4-89BC-9F81E8FA952B}" name="pt_MPP_Count"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42:H45" firstHeaderRow="1" firstDataRow="1" firstDataCol="1" rowPageCount="1" colPageCount="1"/>
  <pivotFields count="15">
    <pivotField dataField="1" showAll="0"/>
    <pivotField showAll="0">
      <items count="7">
        <item x="3"/>
        <item x="4"/>
        <item x="2"/>
        <item x="0"/>
        <item x="5"/>
        <item x="1"/>
        <item t="default"/>
      </items>
    </pivotField>
    <pivotField showAll="0"/>
    <pivotField showAll="0"/>
    <pivotField showAll="0"/>
    <pivotField showAll="0"/>
    <pivotField showAll="0"/>
    <pivotField showAll="0"/>
    <pivotField axis="axisRow" showAll="0">
      <items count="3">
        <item x="1"/>
        <item x="0"/>
        <item t="default"/>
      </items>
    </pivotField>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Fields count="1">
    <field x="8"/>
  </rowFields>
  <rowItems count="3">
    <i>
      <x/>
    </i>
    <i>
      <x v="1"/>
    </i>
    <i t="grand">
      <x/>
    </i>
  </rowItems>
  <colItems count="1">
    <i/>
  </colItems>
  <pageFields count="1">
    <pageField fld="9" hier="-1"/>
  </pageFields>
  <dataFields count="1">
    <dataField name="Count of Client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4503EC-AAAB-443C-A54B-DCC0241AB535}" name="pt_Leads_YTD" cacheId="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15" firstHeaderRow="1" firstDataRow="1" firstDataCol="1" rowPageCount="1" colPageCount="1"/>
  <pivotFields count="8">
    <pivotField dataField="1" numFmtId="14" showAll="0">
      <items count="40">
        <item x="16"/>
        <item x="33"/>
        <item x="0"/>
        <item x="4"/>
        <item x="14"/>
        <item x="21"/>
        <item x="1"/>
        <item x="23"/>
        <item x="19"/>
        <item x="30"/>
        <item x="8"/>
        <item x="2"/>
        <item x="31"/>
        <item x="24"/>
        <item x="6"/>
        <item x="25"/>
        <item x="17"/>
        <item x="32"/>
        <item x="9"/>
        <item x="29"/>
        <item x="15"/>
        <item x="7"/>
        <item x="28"/>
        <item x="3"/>
        <item x="18"/>
        <item x="20"/>
        <item x="22"/>
        <item x="5"/>
        <item x="10"/>
        <item x="11"/>
        <item x="34"/>
        <item m="1" x="35"/>
        <item x="27"/>
        <item x="13"/>
        <item x="26"/>
        <item x="12"/>
        <item m="1" x="37"/>
        <item m="1" x="38"/>
        <item m="1" x="36"/>
        <item t="default"/>
      </items>
    </pivotField>
    <pivotField showAll="0"/>
    <pivotField showAll="0"/>
    <pivotField showAll="0">
      <items count="7">
        <item x="2"/>
        <item x="0"/>
        <item x="1"/>
        <item x="4"/>
        <item x="3"/>
        <item x="5"/>
        <item t="default"/>
      </items>
    </pivotField>
    <pivotField showAll="0"/>
    <pivotField showAll="0"/>
    <pivotField axis="axisRow" showAll="0">
      <items count="15">
        <item x="0"/>
        <item x="1"/>
        <item x="2"/>
        <item x="3"/>
        <item x="4"/>
        <item x="5"/>
        <item x="6"/>
        <item x="7"/>
        <item x="8"/>
        <item x="9"/>
        <item x="10"/>
        <item x="11"/>
        <item x="12"/>
        <item x="13"/>
        <item t="default"/>
      </items>
    </pivotField>
    <pivotField axis="axisPage" multipleItemSelectionAllowed="1" showAll="0">
      <items count="4">
        <item x="1"/>
        <item x="0"/>
        <item x="2"/>
        <item t="default"/>
      </items>
    </pivotField>
  </pivotFields>
  <rowFields count="1">
    <field x="6"/>
  </rowFields>
  <rowItems count="12">
    <i>
      <x v="1"/>
    </i>
    <i>
      <x v="2"/>
    </i>
    <i>
      <x v="3"/>
    </i>
    <i>
      <x v="4"/>
    </i>
    <i>
      <x v="5"/>
    </i>
    <i>
      <x v="6"/>
    </i>
    <i>
      <x v="7"/>
    </i>
    <i>
      <x v="8"/>
    </i>
    <i>
      <x v="9"/>
    </i>
    <i>
      <x v="10"/>
    </i>
    <i>
      <x v="11"/>
    </i>
    <i t="grand">
      <x/>
    </i>
  </rowItems>
  <colItems count="1">
    <i/>
  </colItems>
  <pageFields count="1">
    <pageField fld="7" hier="-1"/>
  </pageFields>
  <dataFields count="1">
    <dataField name="Count of Lead Date" fld="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6C54D4-8340-4BF4-A148-40026111ED69}" name="PivotTable10"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G55:H62" firstHeaderRow="1" firstDataRow="1" firstDataCol="1" rowPageCount="1" colPageCount="1"/>
  <pivotFields count="15">
    <pivotField dataField="1" showAll="0"/>
    <pivotField showAll="0">
      <items count="7">
        <item x="3"/>
        <item x="4"/>
        <item x="2"/>
        <item x="0"/>
        <item x="5"/>
        <item x="1"/>
        <item t="default"/>
      </items>
    </pivotField>
    <pivotField showAll="0"/>
    <pivotField showAll="0"/>
    <pivotField showAll="0"/>
    <pivotField axis="axisRow" showAll="0">
      <items count="7">
        <item x="1"/>
        <item x="4"/>
        <item x="5"/>
        <item x="3"/>
        <item x="0"/>
        <item x="2"/>
        <item t="default"/>
      </items>
    </pivotField>
    <pivotField showAll="0"/>
    <pivotField multipleItemSelectionAllowed="1"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Fields count="1">
    <field x="5"/>
  </rowFields>
  <rowItems count="7">
    <i>
      <x/>
    </i>
    <i>
      <x v="1"/>
    </i>
    <i>
      <x v="2"/>
    </i>
    <i>
      <x v="3"/>
    </i>
    <i>
      <x v="4"/>
    </i>
    <i>
      <x v="5"/>
    </i>
    <i t="grand">
      <x/>
    </i>
  </rowItems>
  <colItems count="1">
    <i/>
  </colItems>
  <pageFields count="1">
    <pageField fld="9" hier="-1"/>
  </pageFields>
  <dataFields count="1">
    <dataField name="Count of Client Name"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5AD503-72C5-4188-BBD6-68F90E1CEF06}" name="pt_Funded_Volume_By_Month"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27:E37" firstHeaderRow="1" firstDataRow="1" firstDataCol="1" rowPageCount="1" colPageCount="1"/>
  <pivotFields count="15">
    <pivotField showAll="0"/>
    <pivotField showAll="0">
      <items count="7">
        <item x="3"/>
        <item x="4"/>
        <item x="2"/>
        <item x="0"/>
        <item x="5"/>
        <item x="1"/>
        <item t="default"/>
      </items>
    </pivotField>
    <pivotField showAll="0"/>
    <pivotField showAll="0"/>
    <pivotField showAll="0"/>
    <pivotField showAll="0"/>
    <pivotField dataField="1" showAll="0"/>
    <pivotField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axis="axisRow" showAll="0">
      <items count="15">
        <item x="0"/>
        <item x="1"/>
        <item x="2"/>
        <item x="3"/>
        <item x="4"/>
        <item x="5"/>
        <item x="6"/>
        <item x="7"/>
        <item x="8"/>
        <item x="9"/>
        <item x="10"/>
        <item x="11"/>
        <item x="12"/>
        <item x="13"/>
        <item t="default"/>
      </items>
    </pivotField>
    <pivotField axis="axisRow" showAll="0">
      <items count="4">
        <item x="1"/>
        <item x="0"/>
        <item x="2"/>
        <item t="default"/>
      </items>
    </pivotField>
  </pivotFields>
  <rowFields count="2">
    <field x="14"/>
    <field x="13"/>
  </rowFields>
  <rowItems count="10">
    <i>
      <x/>
    </i>
    <i r="1">
      <x v="2"/>
    </i>
    <i r="1">
      <x v="3"/>
    </i>
    <i r="1">
      <x v="4"/>
    </i>
    <i r="1">
      <x v="5"/>
    </i>
    <i r="1">
      <x v="6"/>
    </i>
    <i r="1">
      <x v="7"/>
    </i>
    <i r="1">
      <x v="8"/>
    </i>
    <i r="1">
      <x v="9"/>
    </i>
    <i t="grand">
      <x/>
    </i>
  </rowItems>
  <colItems count="1">
    <i/>
  </colItems>
  <pageFields count="1">
    <pageField fld="9" hier="-1"/>
  </pageFields>
  <dataFields count="1">
    <dataField name="Sum of Mortgage Amount" fld="6" baseField="14" baseItem="1" numFmtId="166"/>
  </dataFields>
  <formats count="2">
    <format dxfId="1">
      <pivotArea outline="0" collapsedLevelsAreSubtotals="1" fieldPosition="0"/>
    </format>
    <format dxfId="0">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4BD64E-7666-4CC4-9BDC-2D60CFF80689}" name="pt_Live_By_Source" cacheId="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J4:K11" firstHeaderRow="1" firstDataRow="1" firstDataCol="1" rowPageCount="2" colPageCount="1"/>
  <pivotFields count="8">
    <pivotField dataField="1" numFmtId="14" showAll="0">
      <items count="40">
        <item x="16"/>
        <item x="33"/>
        <item x="0"/>
        <item x="4"/>
        <item x="14"/>
        <item x="21"/>
        <item x="1"/>
        <item x="23"/>
        <item x="19"/>
        <item x="30"/>
        <item x="8"/>
        <item x="2"/>
        <item x="31"/>
        <item x="24"/>
        <item x="6"/>
        <item x="25"/>
        <item x="17"/>
        <item x="32"/>
        <item x="9"/>
        <item x="29"/>
        <item x="15"/>
        <item x="7"/>
        <item x="28"/>
        <item x="3"/>
        <item x="18"/>
        <item x="20"/>
        <item x="22"/>
        <item x="5"/>
        <item x="10"/>
        <item x="11"/>
        <item x="34"/>
        <item m="1" x="35"/>
        <item x="27"/>
        <item x="13"/>
        <item x="26"/>
        <item x="12"/>
        <item m="1" x="37"/>
        <item m="1" x="38"/>
        <item m="1" x="36"/>
        <item t="default"/>
      </items>
    </pivotField>
    <pivotField showAll="0"/>
    <pivotField showAll="0"/>
    <pivotField axis="axisRow" showAll="0">
      <items count="7">
        <item x="2"/>
        <item x="0"/>
        <item x="1"/>
        <item x="4"/>
        <item x="3"/>
        <item x="5"/>
        <item t="default"/>
      </items>
    </pivotField>
    <pivotField showAll="0"/>
    <pivotField axis="axisPage" multipleItemSelectionAllowed="1" showAll="0">
      <items count="3">
        <item x="1"/>
        <item h="1" x="0"/>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4">
        <item x="1"/>
        <item x="0"/>
        <item x="2"/>
        <item t="default"/>
      </items>
    </pivotField>
  </pivotFields>
  <rowFields count="1">
    <field x="3"/>
  </rowFields>
  <rowItems count="7">
    <i>
      <x/>
    </i>
    <i>
      <x v="1"/>
    </i>
    <i>
      <x v="2"/>
    </i>
    <i>
      <x v="3"/>
    </i>
    <i>
      <x v="4"/>
    </i>
    <i>
      <x v="5"/>
    </i>
    <i t="grand">
      <x/>
    </i>
  </rowItems>
  <colItems count="1">
    <i/>
  </colItems>
  <pageFields count="2">
    <pageField fld="7" hier="-1"/>
    <pageField fld="5" hier="-1"/>
  </pageFields>
  <dataFields count="1">
    <dataField name="Count of Lead Date" fld="0" subtotal="count" baseField="0" baseItem="0"/>
  </dataFields>
  <chartFormats count="1">
    <chartFormat chart="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B2625F-86B6-46D9-ACE0-FCAAE7E5231D}" name="pt_Funded_Volume_By_Source"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2:B49" firstHeaderRow="1" firstDataRow="1" firstDataCol="1" rowPageCount="1" colPageCount="1"/>
  <pivotFields count="15">
    <pivotField showAll="0"/>
    <pivotField axis="axisRow" showAll="0">
      <items count="7">
        <item x="3"/>
        <item x="4"/>
        <item x="2"/>
        <item x="0"/>
        <item x="5"/>
        <item x="1"/>
        <item t="default"/>
      </items>
    </pivotField>
    <pivotField showAll="0"/>
    <pivotField showAll="0"/>
    <pivotField showAll="0"/>
    <pivotField showAll="0"/>
    <pivotField dataField="1" showAll="0"/>
    <pivotField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Fields count="1">
    <field x="1"/>
  </rowFields>
  <rowItems count="7">
    <i>
      <x/>
    </i>
    <i>
      <x v="1"/>
    </i>
    <i>
      <x v="2"/>
    </i>
    <i>
      <x v="3"/>
    </i>
    <i>
      <x v="4"/>
    </i>
    <i>
      <x v="5"/>
    </i>
    <i t="grand">
      <x/>
    </i>
  </rowItems>
  <colItems count="1">
    <i/>
  </colItems>
  <pageFields count="1">
    <pageField fld="9" hier="-1"/>
  </pageFields>
  <dataFields count="1">
    <dataField name="Sum of Mortgage Amount" fld="6" baseField="0" baseItem="0" numFmtId="166"/>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111C6B6-BF71-498B-B69B-3657B5638DA9}" name="pt_Total_Funded_Volume"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49:D50" firstHeaderRow="1" firstDataRow="1" firstDataCol="0" rowPageCount="1" colPageCount="1"/>
  <pivotFields count="15">
    <pivotField showAll="0"/>
    <pivotField showAll="0">
      <items count="7">
        <item x="3"/>
        <item x="4"/>
        <item x="2"/>
        <item x="0"/>
        <item x="5"/>
        <item x="1"/>
        <item t="default"/>
      </items>
    </pivotField>
    <pivotField showAll="0"/>
    <pivotField showAll="0"/>
    <pivotField showAll="0"/>
    <pivotField showAll="0"/>
    <pivotField dataField="1" showAll="0"/>
    <pivotField multipleItemSelectionAllowed="1"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Items count="1">
    <i/>
  </rowItems>
  <colItems count="1">
    <i/>
  </colItems>
  <pageFields count="1">
    <pageField fld="9" hier="-1"/>
  </pageFields>
  <dataFields count="1">
    <dataField name="Sum of Mortgage Amount" fld="6" baseField="0" baseItem="0" numFmtId="166"/>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9BA14AB-F47C-4FBE-A09D-B8ED2DC7DE57}" name="pt_Trailer_Volume"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4:A55" firstHeaderRow="1" firstDataRow="1" firstDataCol="0" rowPageCount="2" colPageCount="1"/>
  <pivotFields count="15">
    <pivotField showAll="0"/>
    <pivotField showAll="0">
      <items count="7">
        <item x="3"/>
        <item x="4"/>
        <item x="2"/>
        <item x="0"/>
        <item x="5"/>
        <item x="1"/>
        <item t="default"/>
      </items>
    </pivotField>
    <pivotField showAll="0"/>
    <pivotField showAll="0"/>
    <pivotField showAll="0"/>
    <pivotField showAll="0"/>
    <pivotField dataField="1" showAll="0"/>
    <pivotField axis="axisPage" multipleItemSelectionAllowed="1" showAll="0">
      <items count="3">
        <item h="1" x="1"/>
        <item x="0"/>
        <item t="default"/>
      </items>
    </pivotField>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Items count="1">
    <i/>
  </rowItems>
  <colItems count="1">
    <i/>
  </colItems>
  <pageFields count="2">
    <pageField fld="9" hier="-1"/>
    <pageField fld="7" hier="-1"/>
  </pageFields>
  <dataFields count="1">
    <dataField name="Sum of Mortgage Amount" fld="6" baseField="0" baseItem="0" numFmtId="166"/>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618E6ED-2064-40D0-B987-1531F70DB381}" name="pt_Funded_Deals_By_Month"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4:B34" firstHeaderRow="1" firstDataRow="1" firstDataCol="1" rowPageCount="1" colPageCount="1"/>
  <pivotFields count="15">
    <pivotField dataField="1" showAll="0"/>
    <pivotField showAll="0">
      <items count="7">
        <item x="3"/>
        <item x="4"/>
        <item x="2"/>
        <item x="0"/>
        <item x="5"/>
        <item x="1"/>
        <item t="default"/>
      </items>
    </pivotField>
    <pivotField showAll="0"/>
    <pivotField showAll="0"/>
    <pivotField showAll="0"/>
    <pivotField showAll="0"/>
    <pivotField showAll="0"/>
    <pivotField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axis="axisRow" showAll="0">
      <items count="15">
        <item x="0"/>
        <item x="1"/>
        <item x="2"/>
        <item x="3"/>
        <item x="4"/>
        <item x="5"/>
        <item x="6"/>
        <item x="7"/>
        <item x="8"/>
        <item x="9"/>
        <item x="10"/>
        <item x="11"/>
        <item x="12"/>
        <item x="13"/>
        <item t="default"/>
      </items>
    </pivotField>
    <pivotField axis="axisRow" showAll="0">
      <items count="4">
        <item x="1"/>
        <item x="0"/>
        <item x="2"/>
        <item t="default"/>
      </items>
    </pivotField>
  </pivotFields>
  <rowFields count="2">
    <field x="14"/>
    <field x="13"/>
  </rowFields>
  <rowItems count="10">
    <i>
      <x/>
    </i>
    <i r="1">
      <x v="2"/>
    </i>
    <i r="1">
      <x v="3"/>
    </i>
    <i r="1">
      <x v="4"/>
    </i>
    <i r="1">
      <x v="5"/>
    </i>
    <i r="1">
      <x v="6"/>
    </i>
    <i r="1">
      <x v="7"/>
    </i>
    <i r="1">
      <x v="8"/>
    </i>
    <i r="1">
      <x v="9"/>
    </i>
    <i t="grand">
      <x/>
    </i>
  </rowItems>
  <colItems count="1">
    <i/>
  </colItems>
  <pageFields count="1">
    <pageField fld="9" hier="-1"/>
  </pageFields>
  <dataFields count="1">
    <dataField name="Count of Client Name"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3BF4F4-9B42-4A53-BF9F-A4415BEC4F27}" name="pt_Live_By_Month" cacheId="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D4:E16" firstHeaderRow="1" firstDataRow="1" firstDataCol="1" rowPageCount="2" colPageCount="1"/>
  <pivotFields count="8">
    <pivotField dataField="1" numFmtId="14" showAll="0">
      <items count="40">
        <item x="16"/>
        <item x="33"/>
        <item x="0"/>
        <item x="4"/>
        <item x="14"/>
        <item x="21"/>
        <item x="1"/>
        <item x="23"/>
        <item x="19"/>
        <item x="30"/>
        <item x="8"/>
        <item x="2"/>
        <item x="31"/>
        <item x="24"/>
        <item x="6"/>
        <item x="25"/>
        <item x="17"/>
        <item x="32"/>
        <item x="9"/>
        <item x="29"/>
        <item x="15"/>
        <item x="7"/>
        <item x="28"/>
        <item x="3"/>
        <item x="18"/>
        <item x="20"/>
        <item x="22"/>
        <item x="5"/>
        <item x="10"/>
        <item x="11"/>
        <item x="34"/>
        <item m="1" x="35"/>
        <item x="27"/>
        <item x="13"/>
        <item x="26"/>
        <item x="12"/>
        <item m="1" x="37"/>
        <item m="1" x="38"/>
        <item m="1" x="36"/>
        <item t="default"/>
      </items>
    </pivotField>
    <pivotField showAll="0"/>
    <pivotField showAll="0"/>
    <pivotField showAll="0">
      <items count="7">
        <item x="2"/>
        <item x="0"/>
        <item x="1"/>
        <item x="4"/>
        <item x="3"/>
        <item x="5"/>
        <item t="default"/>
      </items>
    </pivotField>
    <pivotField showAll="0"/>
    <pivotField axis="axisPage" multipleItemSelectionAllowed="1" showAll="0">
      <items count="3">
        <item x="1"/>
        <item h="1" x="0"/>
        <item t="default"/>
      </items>
    </pivotField>
    <pivotField axis="axisRow" showAll="0">
      <items count="15">
        <item x="0"/>
        <item x="1"/>
        <item x="2"/>
        <item x="3"/>
        <item x="4"/>
        <item x="5"/>
        <item x="6"/>
        <item x="7"/>
        <item x="8"/>
        <item x="9"/>
        <item x="10"/>
        <item x="11"/>
        <item x="12"/>
        <item x="13"/>
        <item t="default"/>
      </items>
    </pivotField>
    <pivotField axis="axisPage" multipleItemSelectionAllowed="1" showAll="0">
      <items count="4">
        <item x="1"/>
        <item x="0"/>
        <item x="2"/>
        <item t="default"/>
      </items>
    </pivotField>
  </pivotFields>
  <rowFields count="1">
    <field x="6"/>
  </rowFields>
  <rowItems count="12">
    <i>
      <x v="1"/>
    </i>
    <i>
      <x v="2"/>
    </i>
    <i>
      <x v="3"/>
    </i>
    <i>
      <x v="4"/>
    </i>
    <i>
      <x v="5"/>
    </i>
    <i>
      <x v="6"/>
    </i>
    <i>
      <x v="7"/>
    </i>
    <i>
      <x v="8"/>
    </i>
    <i>
      <x v="9"/>
    </i>
    <i>
      <x v="10"/>
    </i>
    <i>
      <x v="11"/>
    </i>
    <i t="grand">
      <x/>
    </i>
  </rowItems>
  <colItems count="1">
    <i/>
  </colItems>
  <pageFields count="2">
    <pageField fld="7" hier="-1"/>
    <pageField fld="5" hier="-1"/>
  </pageFields>
  <dataFields count="1">
    <dataField name="Count of Lead Date" fld="0" subtotal="count" baseField="0" baseItem="0"/>
  </dataField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59180F8-FA1D-4D08-843D-0DBEB8E4ED9D}" name="pt_Funded_By_Referral_Source"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G27:H34" firstHeaderRow="1" firstDataRow="1" firstDataCol="1" rowPageCount="1" colPageCount="1"/>
  <pivotFields count="15">
    <pivotField dataField="1" showAll="0"/>
    <pivotField axis="axisRow" showAll="0">
      <items count="7">
        <item x="3"/>
        <item x="4"/>
        <item x="2"/>
        <item x="0"/>
        <item x="5"/>
        <item x="1"/>
        <item t="default"/>
      </items>
    </pivotField>
    <pivotField showAll="0"/>
    <pivotField showAll="0"/>
    <pivotField showAll="0"/>
    <pivotField showAll="0"/>
    <pivotField showAll="0"/>
    <pivotField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Fields count="1">
    <field x="1"/>
  </rowFields>
  <rowItems count="7">
    <i>
      <x/>
    </i>
    <i>
      <x v="1"/>
    </i>
    <i>
      <x v="2"/>
    </i>
    <i>
      <x v="3"/>
    </i>
    <i>
      <x v="4"/>
    </i>
    <i>
      <x v="5"/>
    </i>
    <i t="grand">
      <x/>
    </i>
  </rowItems>
  <colItems count="1">
    <i/>
  </colItems>
  <pageFields count="1">
    <pageField fld="9" hier="-1"/>
  </pageFields>
  <dataFields count="1">
    <dataField name="Count of Client Name"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6D87DE4-E7FA-4914-B189-33DA7EBA6B3C}" name="pt_Avg_BPS_YTD"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42:D43" firstHeaderRow="1" firstDataRow="1" firstDataCol="0" rowPageCount="1" colPageCount="1"/>
  <pivotFields count="15">
    <pivotField showAll="0"/>
    <pivotField showAll="0">
      <items count="7">
        <item x="3"/>
        <item x="4"/>
        <item x="2"/>
        <item x="0"/>
        <item x="5"/>
        <item x="1"/>
        <item t="default"/>
      </items>
    </pivotField>
    <pivotField showAll="0"/>
    <pivotField showAll="0"/>
    <pivotField showAll="0"/>
    <pivotField showAll="0"/>
    <pivotField showAll="0"/>
    <pivotField showAll="0"/>
    <pivotField showAll="0"/>
    <pivotField axis="axisPage" multipleItemSelectionAllowed="1" showAll="0">
      <items count="3">
        <item h="1" x="0"/>
        <item x="1"/>
        <item t="default"/>
      </items>
    </pivotField>
    <pivotField showAll="0">
      <items count="14">
        <item x="3"/>
        <item x="5"/>
        <item x="9"/>
        <item x="6"/>
        <item x="8"/>
        <item x="10"/>
        <item x="2"/>
        <item x="7"/>
        <item x="1"/>
        <item x="4"/>
        <item x="11"/>
        <item x="0"/>
        <item m="1" x="12"/>
        <item t="default"/>
      </items>
    </pivotField>
    <pivotField showAll="0"/>
    <pivotField dataField="1" showAll="0"/>
    <pivotField showAll="0">
      <items count="15">
        <item x="0"/>
        <item x="1"/>
        <item x="2"/>
        <item x="3"/>
        <item x="4"/>
        <item x="5"/>
        <item x="6"/>
        <item x="7"/>
        <item x="8"/>
        <item x="9"/>
        <item x="10"/>
        <item x="11"/>
        <item x="12"/>
        <item x="13"/>
        <item t="default"/>
      </items>
    </pivotField>
    <pivotField showAll="0">
      <items count="4">
        <item x="1"/>
        <item x="0"/>
        <item x="2"/>
        <item t="default"/>
      </items>
    </pivotField>
  </pivotFields>
  <rowItems count="1">
    <i/>
  </rowItems>
  <colItems count="1">
    <i/>
  </colItems>
  <pageFields count="1">
    <pageField fld="9" hier="-1"/>
  </pageFields>
  <dataFields count="1">
    <dataField name="Average of BPS Expected" fld="1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86E10E1-34F5-4728-8658-BB8BC5EF6D44}" name="pt_Leads_By_Source" cacheId="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G3:H10" firstHeaderRow="1" firstDataRow="1" firstDataCol="1" rowPageCount="1" colPageCount="1"/>
  <pivotFields count="8">
    <pivotField dataField="1" numFmtId="14" showAll="0">
      <items count="40">
        <item x="16"/>
        <item x="33"/>
        <item x="0"/>
        <item x="4"/>
        <item x="14"/>
        <item x="21"/>
        <item x="1"/>
        <item x="23"/>
        <item x="19"/>
        <item x="30"/>
        <item x="8"/>
        <item x="2"/>
        <item x="31"/>
        <item x="24"/>
        <item x="6"/>
        <item x="25"/>
        <item x="17"/>
        <item x="32"/>
        <item x="9"/>
        <item x="29"/>
        <item x="15"/>
        <item x="7"/>
        <item x="28"/>
        <item x="3"/>
        <item x="18"/>
        <item x="20"/>
        <item x="22"/>
        <item x="5"/>
        <item x="10"/>
        <item x="11"/>
        <item x="34"/>
        <item m="1" x="35"/>
        <item x="27"/>
        <item x="13"/>
        <item x="26"/>
        <item x="12"/>
        <item m="1" x="37"/>
        <item m="1" x="38"/>
        <item m="1" x="36"/>
        <item t="default"/>
      </items>
    </pivotField>
    <pivotField showAll="0"/>
    <pivotField showAll="0"/>
    <pivotField axis="axisRow" showAll="0">
      <items count="7">
        <item x="2"/>
        <item x="0"/>
        <item x="1"/>
        <item x="4"/>
        <item x="3"/>
        <item x="5"/>
        <item t="default"/>
      </items>
    </pivotField>
    <pivotField showAll="0"/>
    <pivotField multipleItemSelectionAllowed="1" showAll="0"/>
    <pivotField showAll="0">
      <items count="15">
        <item x="0"/>
        <item x="1"/>
        <item x="2"/>
        <item x="3"/>
        <item x="4"/>
        <item x="5"/>
        <item x="6"/>
        <item x="7"/>
        <item x="8"/>
        <item x="9"/>
        <item x="10"/>
        <item x="11"/>
        <item x="12"/>
        <item x="13"/>
        <item t="default"/>
      </items>
    </pivotField>
    <pivotField axis="axisPage" multipleItemSelectionAllowed="1" showAll="0">
      <items count="4">
        <item x="1"/>
        <item x="0"/>
        <item x="2"/>
        <item t="default"/>
      </items>
    </pivotField>
  </pivotFields>
  <rowFields count="1">
    <field x="3"/>
  </rowFields>
  <rowItems count="7">
    <i>
      <x/>
    </i>
    <i>
      <x v="1"/>
    </i>
    <i>
      <x v="2"/>
    </i>
    <i>
      <x v="3"/>
    </i>
    <i>
      <x v="4"/>
    </i>
    <i>
      <x v="5"/>
    </i>
    <i t="grand">
      <x/>
    </i>
  </rowItems>
  <colItems count="1">
    <i/>
  </colItems>
  <pageFields count="1">
    <pageField fld="7" hier="-1"/>
  </pageFields>
  <dataFields count="1">
    <dataField name="Count of Lead Date" fld="0" subtotal="count"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ferral_Source" xr10:uid="{6FFA1DE4-7FCD-46F7-9BFB-39826C7CEA5C}" sourceName="Referral Source">
  <pivotTables>
    <pivotTable tabId="5" name="pt_Live_By_Month"/>
    <pivotTable tabId="5" name="pt_Leads_By_Source"/>
    <pivotTable tabId="5" name="pt_Leads_YTD"/>
    <pivotTable tabId="5" name="pt_Live_By_Source"/>
  </pivotTables>
  <data>
    <tabular pivotCacheId="868561605">
      <items count="6">
        <i x="2" s="1"/>
        <i x="0" s="1"/>
        <i x="1" s="1"/>
        <i x="4" s="1"/>
        <i x="3"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ferral_Source1" xr10:uid="{1AC846B5-ECC3-407D-A877-051B2554DF0E}" sourceName="Referral Source">
  <pivotTables>
    <pivotTable tabId="5" name="pt_Funded_Volume_By_Month"/>
    <pivotTable tabId="5" name="PivotTable10"/>
    <pivotTable tabId="5" name="pt_Avg_BPS_YTD"/>
    <pivotTable tabId="5" name="pt_Funded_By_Referral_Source"/>
    <pivotTable tabId="5" name="pt_Funded_Deals_By_Month"/>
    <pivotTable tabId="5" name="pt_Funded_Volume_By_Source"/>
    <pivotTable tabId="5" name="pt_GiftCard_Spend"/>
    <pivotTable tabId="5" name="pt_MPP_Count"/>
    <pivotTable tabId="5" name="pt_Total_Funded_Deals"/>
    <pivotTable tabId="5" name="pt_Total_Funded_Volume"/>
    <pivotTable tabId="5" name="pt_Trailer_Volume"/>
  </pivotTables>
  <data>
    <tabular pivotCacheId="2080020078">
      <items count="6">
        <i x="3" s="1"/>
        <i x="4" s="1"/>
        <i x="2" s="1"/>
        <i x="0" s="1"/>
        <i x="5"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Closing_Date" xr10:uid="{FB599FAE-ABA5-40E1-9F59-D73D45513D3E}" sourceName="Years (Closing Date)">
  <pivotTables>
    <pivotTable tabId="5" name="pt_Funded_Volume_By_Month"/>
    <pivotTable tabId="5" name="PivotTable10"/>
    <pivotTable tabId="5" name="pt_Avg_BPS_YTD"/>
    <pivotTable tabId="5" name="pt_Funded_By_Referral_Source"/>
    <pivotTable tabId="5" name="pt_Funded_Deals_By_Month"/>
    <pivotTable tabId="5" name="pt_Funded_Volume_By_Source"/>
    <pivotTable tabId="5" name="pt_GiftCard_Spend"/>
    <pivotTable tabId="5" name="pt_MPP_Count"/>
    <pivotTable tabId="5" name="pt_Total_Funded_Deals"/>
    <pivotTable tabId="5" name="pt_Total_Funded_Volume"/>
    <pivotTable tabId="5" name="pt_Trailer_Volume"/>
  </pivotTables>
  <data>
    <tabular pivotCacheId="2080020078">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ferral Source" xr10:uid="{63ECED80-4C94-4393-8FD7-0C7B2BB2E8C7}" cache="Slicer_Referral_Source" caption="Referral Sourc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ferral Source 1" xr10:uid="{243E0498-3D56-4F58-8895-CA4C7F214AEF}" cache="Slicer_Referral_Source1" caption="Referral Source" rowHeight="241300"/>
  <slicer name="Years (Closing Date)" xr10:uid="{951ECF33-58BD-4B68-B812-FB8461D44EA5}" cache="Slicer_Years__Closing_Date" caption="Years (Closing Dat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8F744D-D479-4517-B271-667765F1BE16}" name="tbl_leads" displayName="tbl_leads" ref="A1:F36" totalsRowShown="0">
  <autoFilter ref="A1:F36" xr:uid="{BD8F744D-D479-4517-B271-667765F1BE16}"/>
  <tableColumns count="6">
    <tableColumn id="1" xr3:uid="{A9B3BA9E-F766-47A9-8C47-28A609BAD101}" name="Lead Date" dataDxfId="9"/>
    <tableColumn id="2" xr3:uid="{54093581-B108-439C-B849-6C7BF75F9FF3}" name="Lead Name"/>
    <tableColumn id="3" xr3:uid="{CBCC03A4-48F2-4477-8791-C04F750C5381}" name="Lead Email" dataDxfId="8" dataCellStyle="Hyperlink"/>
    <tableColumn id="4" xr3:uid="{43CE56F0-CABB-41D9-AF6A-0AD7EB63F611}" name="Referral Source"/>
    <tableColumn id="5" xr3:uid="{74DDA4A5-5C22-4734-93A5-ACAB7E500C6D}" name="Referral Name"/>
    <tableColumn id="6" xr3:uid="{74C9B48F-AB0C-4B26-8F92-8AC31E851A5A}" name="Went Liv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5E9A07-79EE-4E4C-9657-8D12FEFC37D2}" name="tbl_main_tracker" displayName="tbl_main_tracker" ref="A1:M19" totalsRowShown="0">
  <autoFilter ref="A1:M19" xr:uid="{E25E9A07-79EE-4E4C-9657-8D12FEFC37D2}"/>
  <tableColumns count="13">
    <tableColumn id="1" xr3:uid="{F6D41672-3976-4C0D-B6F6-4CF9A55DD09B}" name="Client Name"/>
    <tableColumn id="2" xr3:uid="{646A2BC2-40A7-4FB1-9987-9B39D2F7CFDA}" name="Referral Source"/>
    <tableColumn id="3" xr3:uid="{F68AC345-2545-4127-B62D-9571558307E3}" name="Referral Name"/>
    <tableColumn id="4" xr3:uid="{EB594A5D-8A95-4369-AD88-BB08C103CF15}" name="Location"/>
    <tableColumn id="5" xr3:uid="{C665C98C-6CF5-490A-A7BA-999D75726842}" name="Purpose"/>
    <tableColumn id="6" xr3:uid="{D51631C3-A126-4E3A-926F-4E3ACC5F9774}" name="Lender"/>
    <tableColumn id="7" xr3:uid="{EFACC080-E01B-48AF-9473-232DBDA51BED}" name="Mortgage Amount" dataDxfId="7"/>
    <tableColumn id="8" xr3:uid="{D956C291-4C24-4543-A08C-29E14E9E8B43}" name="Trailer"/>
    <tableColumn id="9" xr3:uid="{B8529DDB-25E5-4553-9413-61E73D0B2433}" name="MPP"/>
    <tableColumn id="10" xr3:uid="{912CE945-4B8F-404C-B143-872B15DE5117}" name="Status"/>
    <tableColumn id="11" xr3:uid="{9ED44D10-8B0D-4BF6-BA63-B0055F040111}" name="Closing Date" dataDxfId="6"/>
    <tableColumn id="12" xr3:uid="{AE546EE2-ACCA-4C14-A62C-FD0F7DF788B1}" name="Gift Card Value" dataDxfId="5"/>
    <tableColumn id="13" xr3:uid="{047E79C6-EB76-4BD5-B806-3FC544DFA115}" name="BPS Expected"/>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swatitiwari@fakmail.com" TargetMode="External"/><Relationship Id="rId13" Type="http://schemas.openxmlformats.org/officeDocument/2006/relationships/hyperlink" Target="mailto:shivprakshshukla@fakmail.com" TargetMode="External"/><Relationship Id="rId18" Type="http://schemas.openxmlformats.org/officeDocument/2006/relationships/hyperlink" Target="mailto:khushijha@fakmail.com" TargetMode="External"/><Relationship Id="rId26" Type="http://schemas.openxmlformats.org/officeDocument/2006/relationships/hyperlink" Target="mailto:bhumikatripathi@fakmail.com" TargetMode="External"/><Relationship Id="rId3" Type="http://schemas.openxmlformats.org/officeDocument/2006/relationships/hyperlink" Target="mailto:sameerpandey@fakmail.com" TargetMode="External"/><Relationship Id="rId21" Type="http://schemas.openxmlformats.org/officeDocument/2006/relationships/hyperlink" Target="mailto:abhishekpandey@fakmail.com" TargetMode="External"/><Relationship Id="rId34" Type="http://schemas.openxmlformats.org/officeDocument/2006/relationships/hyperlink" Target="mailto:swatiyadav@fakmail.com" TargetMode="External"/><Relationship Id="rId7" Type="http://schemas.openxmlformats.org/officeDocument/2006/relationships/hyperlink" Target="mailto:parvatisharma@fakmail.com" TargetMode="External"/><Relationship Id="rId12" Type="http://schemas.openxmlformats.org/officeDocument/2006/relationships/hyperlink" Target="mailto:ranvijaysingh@fakmail.com" TargetMode="External"/><Relationship Id="rId17" Type="http://schemas.openxmlformats.org/officeDocument/2006/relationships/hyperlink" Target="mailto:adityaranjan@fakmail.com" TargetMode="External"/><Relationship Id="rId25" Type="http://schemas.openxmlformats.org/officeDocument/2006/relationships/hyperlink" Target="mailto:deshrajjhakar@fakmail.com" TargetMode="External"/><Relationship Id="rId33" Type="http://schemas.openxmlformats.org/officeDocument/2006/relationships/hyperlink" Target="mailto:vivekyadav@fakmail.com" TargetMode="External"/><Relationship Id="rId2" Type="http://schemas.openxmlformats.org/officeDocument/2006/relationships/hyperlink" Target="mailto:tanurjain@fakmail.com" TargetMode="External"/><Relationship Id="rId16" Type="http://schemas.openxmlformats.org/officeDocument/2006/relationships/hyperlink" Target="mailto:rishimahajanpandey@fakmail.com" TargetMode="External"/><Relationship Id="rId20" Type="http://schemas.openxmlformats.org/officeDocument/2006/relationships/hyperlink" Target="mailto:rahulpandy@fakmail.com" TargetMode="External"/><Relationship Id="rId29" Type="http://schemas.openxmlformats.org/officeDocument/2006/relationships/hyperlink" Target="mailto:satyamsingh@fakmail.com" TargetMode="External"/><Relationship Id="rId1" Type="http://schemas.openxmlformats.org/officeDocument/2006/relationships/hyperlink" Target="mailto:ravigupta@fakmail.com" TargetMode="External"/><Relationship Id="rId6" Type="http://schemas.openxmlformats.org/officeDocument/2006/relationships/hyperlink" Target="mailto:palakkumari@fakmail.com" TargetMode="External"/><Relationship Id="rId11" Type="http://schemas.openxmlformats.org/officeDocument/2006/relationships/hyperlink" Target="mailto:ishagupta@fakmail.com" TargetMode="External"/><Relationship Id="rId24" Type="http://schemas.openxmlformats.org/officeDocument/2006/relationships/hyperlink" Target="mailto:devrajrathod@fakmail.com" TargetMode="External"/><Relationship Id="rId32" Type="http://schemas.openxmlformats.org/officeDocument/2006/relationships/hyperlink" Target="mailto:rajkumarpandey@fakmail.com" TargetMode="External"/><Relationship Id="rId5" Type="http://schemas.openxmlformats.org/officeDocument/2006/relationships/hyperlink" Target="mailto:rahulsingh@fakmail.com" TargetMode="External"/><Relationship Id="rId15" Type="http://schemas.openxmlformats.org/officeDocument/2006/relationships/hyperlink" Target="mailto:satyamshukla@fakmail.com" TargetMode="External"/><Relationship Id="rId23" Type="http://schemas.openxmlformats.org/officeDocument/2006/relationships/hyperlink" Target="mailto:sidhartsharma@fakmail.com" TargetMode="External"/><Relationship Id="rId28" Type="http://schemas.openxmlformats.org/officeDocument/2006/relationships/hyperlink" Target="mailto:janvikumari@fakmail.com" TargetMode="External"/><Relationship Id="rId36" Type="http://schemas.openxmlformats.org/officeDocument/2006/relationships/table" Target="../tables/table1.xml"/><Relationship Id="rId10" Type="http://schemas.openxmlformats.org/officeDocument/2006/relationships/hyperlink" Target="mailto:soniasharma@fakmail.com" TargetMode="External"/><Relationship Id="rId19" Type="http://schemas.openxmlformats.org/officeDocument/2006/relationships/hyperlink" Target="mailto:manikchoudhry@fakmail.com" TargetMode="External"/><Relationship Id="rId31" Type="http://schemas.openxmlformats.org/officeDocument/2006/relationships/hyperlink" Target="mailto:rajeshshaw@fakmail.com" TargetMode="External"/><Relationship Id="rId4" Type="http://schemas.openxmlformats.org/officeDocument/2006/relationships/hyperlink" Target="mailto:alokumar@fakmail.com" TargetMode="External"/><Relationship Id="rId9" Type="http://schemas.openxmlformats.org/officeDocument/2006/relationships/hyperlink" Target="mailto:tanyakapoor@fakmail.com" TargetMode="External"/><Relationship Id="rId14" Type="http://schemas.openxmlformats.org/officeDocument/2006/relationships/hyperlink" Target="mailto:adityanathtripathi@fakmail.com" TargetMode="External"/><Relationship Id="rId22" Type="http://schemas.openxmlformats.org/officeDocument/2006/relationships/hyperlink" Target="mailto:sidhantavasthi@fakmail.com" TargetMode="External"/><Relationship Id="rId27" Type="http://schemas.openxmlformats.org/officeDocument/2006/relationships/hyperlink" Target="mailto:sharmesthasharma@fakmail.com" TargetMode="External"/><Relationship Id="rId30" Type="http://schemas.openxmlformats.org/officeDocument/2006/relationships/hyperlink" Target="mailto:adithkumarsing@fakmail.com" TargetMode="External"/><Relationship Id="rId35" Type="http://schemas.openxmlformats.org/officeDocument/2006/relationships/hyperlink" Target="mailto:samarkumarsingh@fakmail.com" TargetMode="Externa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3.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63A14-C200-4C51-A66B-5E1644F28335}">
  <sheetPr codeName="Sheet1"/>
  <dimension ref="A1:F48"/>
  <sheetViews>
    <sheetView topLeftCell="A19" workbookViewId="0">
      <selection activeCell="H37" sqref="H37"/>
    </sheetView>
  </sheetViews>
  <sheetFormatPr defaultRowHeight="15" x14ac:dyDescent="0.25"/>
  <cols>
    <col min="1" max="1" width="12.85546875" style="1" customWidth="1"/>
    <col min="2" max="2" width="22.7109375" customWidth="1"/>
    <col min="3" max="3" width="32.42578125" bestFit="1" customWidth="1"/>
    <col min="4" max="4" width="16.7109375" customWidth="1"/>
    <col min="5" max="5" width="22.5703125" bestFit="1" customWidth="1"/>
    <col min="6" max="6" width="20.28515625" bestFit="1" customWidth="1"/>
  </cols>
  <sheetData>
    <row r="1" spans="1:6" x14ac:dyDescent="0.25">
      <c r="A1" s="1" t="s">
        <v>0</v>
      </c>
      <c r="B1" t="s">
        <v>1</v>
      </c>
      <c r="C1" t="s">
        <v>2</v>
      </c>
      <c r="D1" t="s">
        <v>3</v>
      </c>
      <c r="E1" t="s">
        <v>4</v>
      </c>
      <c r="F1" t="s">
        <v>105</v>
      </c>
    </row>
    <row r="2" spans="1:6" x14ac:dyDescent="0.25">
      <c r="A2" s="1">
        <v>45682</v>
      </c>
      <c r="B2" t="s">
        <v>12</v>
      </c>
      <c r="C2" s="2" t="s">
        <v>47</v>
      </c>
      <c r="D2" t="s">
        <v>6</v>
      </c>
    </row>
    <row r="3" spans="1:6" x14ac:dyDescent="0.25">
      <c r="A3" s="1">
        <v>45718</v>
      </c>
      <c r="B3" t="s">
        <v>13</v>
      </c>
      <c r="C3" s="2" t="s">
        <v>48</v>
      </c>
      <c r="D3" t="s">
        <v>7</v>
      </c>
      <c r="E3" t="s">
        <v>82</v>
      </c>
      <c r="F3" t="s">
        <v>5</v>
      </c>
    </row>
    <row r="4" spans="1:6" x14ac:dyDescent="0.25">
      <c r="A4" s="1">
        <v>45787</v>
      </c>
      <c r="B4" t="s">
        <v>14</v>
      </c>
      <c r="C4" s="2" t="s">
        <v>49</v>
      </c>
      <c r="D4" t="s">
        <v>8</v>
      </c>
      <c r="E4" t="s">
        <v>83</v>
      </c>
      <c r="F4" t="s">
        <v>5</v>
      </c>
    </row>
    <row r="5" spans="1:6" x14ac:dyDescent="0.25">
      <c r="A5" s="1">
        <v>45873</v>
      </c>
      <c r="B5" t="s">
        <v>15</v>
      </c>
      <c r="C5" s="2" t="s">
        <v>50</v>
      </c>
      <c r="D5" t="s">
        <v>10</v>
      </c>
      <c r="F5" t="s">
        <v>5</v>
      </c>
    </row>
    <row r="6" spans="1:6" x14ac:dyDescent="0.25">
      <c r="A6" s="1">
        <v>45690</v>
      </c>
      <c r="B6" t="s">
        <v>16</v>
      </c>
      <c r="C6" s="2" t="s">
        <v>51</v>
      </c>
      <c r="D6" t="s">
        <v>9</v>
      </c>
      <c r="E6" t="s">
        <v>84</v>
      </c>
    </row>
    <row r="7" spans="1:6" x14ac:dyDescent="0.25">
      <c r="A7" s="1">
        <v>45919</v>
      </c>
      <c r="B7" t="s">
        <v>17</v>
      </c>
      <c r="C7" s="2" t="s">
        <v>52</v>
      </c>
      <c r="D7" t="s">
        <v>11</v>
      </c>
      <c r="F7" t="s">
        <v>5</v>
      </c>
    </row>
    <row r="8" spans="1:6" x14ac:dyDescent="0.25">
      <c r="A8" s="1">
        <v>45803</v>
      </c>
      <c r="B8" t="s">
        <v>18</v>
      </c>
      <c r="C8" s="2" t="s">
        <v>53</v>
      </c>
      <c r="D8" t="s">
        <v>7</v>
      </c>
      <c r="E8" t="s">
        <v>85</v>
      </c>
    </row>
    <row r="9" spans="1:6" x14ac:dyDescent="0.25">
      <c r="A9" s="1">
        <v>45868</v>
      </c>
      <c r="B9" t="s">
        <v>19</v>
      </c>
      <c r="C9" s="2" t="s">
        <v>54</v>
      </c>
      <c r="D9" t="s">
        <v>8</v>
      </c>
      <c r="E9" t="s">
        <v>86</v>
      </c>
    </row>
    <row r="10" spans="1:6" x14ac:dyDescent="0.25">
      <c r="A10" s="1">
        <v>45763</v>
      </c>
      <c r="B10" t="s">
        <v>20</v>
      </c>
      <c r="C10" s="2" t="s">
        <v>55</v>
      </c>
      <c r="D10" t="s">
        <v>9</v>
      </c>
      <c r="E10" t="s">
        <v>87</v>
      </c>
      <c r="F10" t="s">
        <v>5</v>
      </c>
    </row>
    <row r="11" spans="1:6" x14ac:dyDescent="0.25">
      <c r="A11" s="1">
        <v>45828</v>
      </c>
      <c r="B11" t="s">
        <v>21</v>
      </c>
      <c r="C11" s="2" t="s">
        <v>56</v>
      </c>
      <c r="D11" t="s">
        <v>11</v>
      </c>
    </row>
    <row r="12" spans="1:6" x14ac:dyDescent="0.25">
      <c r="A12" s="1">
        <v>45940</v>
      </c>
      <c r="B12" t="s">
        <v>22</v>
      </c>
      <c r="C12" s="2" t="s">
        <v>57</v>
      </c>
      <c r="D12" t="s">
        <v>9</v>
      </c>
      <c r="E12" t="s">
        <v>88</v>
      </c>
    </row>
    <row r="13" spans="1:6" x14ac:dyDescent="0.25">
      <c r="A13" s="1">
        <v>45945</v>
      </c>
      <c r="B13" t="s">
        <v>23</v>
      </c>
      <c r="C13" s="2" t="s">
        <v>58</v>
      </c>
      <c r="D13" t="s">
        <v>9</v>
      </c>
      <c r="E13" t="s">
        <v>89</v>
      </c>
    </row>
    <row r="14" spans="1:6" x14ac:dyDescent="0.25">
      <c r="A14" s="1">
        <v>45991</v>
      </c>
      <c r="B14" t="s">
        <v>24</v>
      </c>
      <c r="C14" s="2" t="s">
        <v>59</v>
      </c>
      <c r="D14" t="s">
        <v>7</v>
      </c>
      <c r="E14" t="s">
        <v>90</v>
      </c>
      <c r="F14" t="s">
        <v>5</v>
      </c>
    </row>
    <row r="15" spans="1:6" x14ac:dyDescent="0.25">
      <c r="A15" s="1">
        <v>45970</v>
      </c>
      <c r="B15" t="s">
        <v>25</v>
      </c>
      <c r="C15" s="2" t="s">
        <v>60</v>
      </c>
      <c r="D15" t="s">
        <v>6</v>
      </c>
    </row>
    <row r="16" spans="1:6" x14ac:dyDescent="0.25">
      <c r="A16" s="1">
        <v>45694</v>
      </c>
      <c r="B16" t="s">
        <v>26</v>
      </c>
      <c r="C16" s="2" t="s">
        <v>61</v>
      </c>
      <c r="D16" t="s">
        <v>9</v>
      </c>
      <c r="E16" t="s">
        <v>91</v>
      </c>
      <c r="F16" t="s">
        <v>5</v>
      </c>
    </row>
    <row r="17" spans="1:6" x14ac:dyDescent="0.25">
      <c r="A17" s="1">
        <v>45855</v>
      </c>
      <c r="B17" t="s">
        <v>27</v>
      </c>
      <c r="C17" s="2" t="s">
        <v>62</v>
      </c>
      <c r="D17" t="s">
        <v>11</v>
      </c>
    </row>
    <row r="18" spans="1:6" x14ac:dyDescent="0.25">
      <c r="A18" s="1">
        <v>45669</v>
      </c>
      <c r="B18" t="s">
        <v>28</v>
      </c>
      <c r="C18" s="2" t="s">
        <v>63</v>
      </c>
      <c r="D18" t="s">
        <v>9</v>
      </c>
      <c r="E18" t="s">
        <v>92</v>
      </c>
    </row>
    <row r="19" spans="1:6" x14ac:dyDescent="0.25">
      <c r="A19" s="1">
        <v>45817</v>
      </c>
      <c r="B19" t="s">
        <v>29</v>
      </c>
      <c r="C19" s="2" t="s">
        <v>64</v>
      </c>
      <c r="D19" t="s">
        <v>9</v>
      </c>
      <c r="E19" t="s">
        <v>93</v>
      </c>
    </row>
    <row r="20" spans="1:6" x14ac:dyDescent="0.25">
      <c r="A20" s="1">
        <v>45874</v>
      </c>
      <c r="B20" t="s">
        <v>30</v>
      </c>
      <c r="C20" s="2" t="s">
        <v>65</v>
      </c>
      <c r="D20" t="s">
        <v>7</v>
      </c>
      <c r="E20" t="s">
        <v>94</v>
      </c>
    </row>
    <row r="21" spans="1:6" x14ac:dyDescent="0.25">
      <c r="A21" s="1">
        <v>45738</v>
      </c>
      <c r="B21" t="s">
        <v>31</v>
      </c>
      <c r="C21" s="2" t="s">
        <v>66</v>
      </c>
      <c r="D21" t="s">
        <v>9</v>
      </c>
      <c r="E21" t="s">
        <v>95</v>
      </c>
      <c r="F21" t="s">
        <v>5</v>
      </c>
    </row>
    <row r="22" spans="1:6" x14ac:dyDescent="0.25">
      <c r="A22" s="1">
        <v>45893</v>
      </c>
      <c r="B22" t="s">
        <v>32</v>
      </c>
      <c r="C22" s="2" t="s">
        <v>67</v>
      </c>
      <c r="D22" t="s">
        <v>9</v>
      </c>
      <c r="E22" t="s">
        <v>96</v>
      </c>
    </row>
    <row r="23" spans="1:6" x14ac:dyDescent="0.25">
      <c r="A23" s="1">
        <v>45695</v>
      </c>
      <c r="B23" t="s">
        <v>33</v>
      </c>
      <c r="C23" s="2" t="s">
        <v>68</v>
      </c>
      <c r="D23" t="s">
        <v>11</v>
      </c>
    </row>
    <row r="24" spans="1:6" x14ac:dyDescent="0.25">
      <c r="A24" s="1">
        <v>45908</v>
      </c>
      <c r="B24" t="s">
        <v>34</v>
      </c>
      <c r="C24" s="2" t="s">
        <v>69</v>
      </c>
      <c r="D24" t="s">
        <v>8</v>
      </c>
      <c r="E24" t="s">
        <v>97</v>
      </c>
    </row>
    <row r="25" spans="1:6" x14ac:dyDescent="0.25">
      <c r="A25" s="1">
        <v>45727</v>
      </c>
      <c r="B25" t="s">
        <v>35</v>
      </c>
      <c r="C25" s="2" t="s">
        <v>70</v>
      </c>
      <c r="D25" t="s">
        <v>7</v>
      </c>
      <c r="E25" t="s">
        <v>98</v>
      </c>
      <c r="F25" t="s">
        <v>5</v>
      </c>
    </row>
    <row r="26" spans="1:6" x14ac:dyDescent="0.25">
      <c r="A26" s="1">
        <v>45799</v>
      </c>
      <c r="B26" t="s">
        <v>36</v>
      </c>
      <c r="C26" s="2" t="s">
        <v>71</v>
      </c>
      <c r="D26" t="s">
        <v>9</v>
      </c>
      <c r="E26" t="s">
        <v>99</v>
      </c>
    </row>
    <row r="27" spans="1:6" x14ac:dyDescent="0.25">
      <c r="A27" s="1">
        <v>45812</v>
      </c>
      <c r="B27" t="s">
        <v>37</v>
      </c>
      <c r="C27" s="2" t="s">
        <v>72</v>
      </c>
      <c r="D27" t="s">
        <v>6</v>
      </c>
      <c r="F27" t="s">
        <v>5</v>
      </c>
    </row>
    <row r="28" spans="1:6" x14ac:dyDescent="0.25">
      <c r="A28" s="1">
        <v>45971</v>
      </c>
      <c r="B28" t="s">
        <v>38</v>
      </c>
      <c r="C28" s="2" t="s">
        <v>73</v>
      </c>
      <c r="D28" t="s">
        <v>8</v>
      </c>
      <c r="E28" t="s">
        <v>100</v>
      </c>
      <c r="F28" t="s">
        <v>5</v>
      </c>
    </row>
    <row r="29" spans="1:6" x14ac:dyDescent="0.25">
      <c r="A29" s="1">
        <v>45961</v>
      </c>
      <c r="B29" t="s">
        <v>39</v>
      </c>
      <c r="C29" s="2" t="s">
        <v>74</v>
      </c>
      <c r="D29" t="s">
        <v>11</v>
      </c>
      <c r="F29" t="s">
        <v>5</v>
      </c>
    </row>
    <row r="30" spans="1:6" x14ac:dyDescent="0.25">
      <c r="A30" s="1">
        <v>45871</v>
      </c>
      <c r="B30" t="s">
        <v>40</v>
      </c>
      <c r="C30" s="2" t="s">
        <v>75</v>
      </c>
      <c r="D30" t="s">
        <v>7</v>
      </c>
      <c r="E30" t="s">
        <v>101</v>
      </c>
    </row>
    <row r="31" spans="1:6" x14ac:dyDescent="0.25">
      <c r="A31" s="1">
        <v>45844</v>
      </c>
      <c r="B31" t="s">
        <v>41</v>
      </c>
      <c r="C31" s="2" t="s">
        <v>76</v>
      </c>
      <c r="D31" t="s">
        <v>9</v>
      </c>
      <c r="E31" t="s">
        <v>102</v>
      </c>
      <c r="F31" t="s">
        <v>5</v>
      </c>
    </row>
    <row r="32" spans="1:6" x14ac:dyDescent="0.25">
      <c r="A32" s="1">
        <v>45755</v>
      </c>
      <c r="B32" t="s">
        <v>42</v>
      </c>
      <c r="C32" s="2" t="s">
        <v>77</v>
      </c>
      <c r="D32" t="s">
        <v>6</v>
      </c>
    </row>
    <row r="33" spans="1:6" x14ac:dyDescent="0.25">
      <c r="A33" s="1">
        <v>45794</v>
      </c>
      <c r="B33" t="s">
        <v>43</v>
      </c>
      <c r="C33" s="2" t="s">
        <v>78</v>
      </c>
      <c r="D33" t="s">
        <v>8</v>
      </c>
      <c r="E33" t="s">
        <v>103</v>
      </c>
    </row>
    <row r="34" spans="1:6" x14ac:dyDescent="0.25">
      <c r="A34" s="1">
        <v>45827</v>
      </c>
      <c r="B34" t="s">
        <v>44</v>
      </c>
      <c r="C34" s="2" t="s">
        <v>79</v>
      </c>
      <c r="D34" t="s">
        <v>10</v>
      </c>
    </row>
    <row r="35" spans="1:6" x14ac:dyDescent="0.25">
      <c r="A35" s="1">
        <v>45671</v>
      </c>
      <c r="B35" t="s">
        <v>45</v>
      </c>
      <c r="C35" s="2" t="s">
        <v>80</v>
      </c>
      <c r="D35" t="s">
        <v>11</v>
      </c>
      <c r="F35" t="s">
        <v>5</v>
      </c>
    </row>
    <row r="36" spans="1:6" x14ac:dyDescent="0.25">
      <c r="A36" s="1">
        <v>45956</v>
      </c>
      <c r="B36" t="s">
        <v>46</v>
      </c>
      <c r="C36" s="2" t="s">
        <v>81</v>
      </c>
      <c r="D36" t="s">
        <v>7</v>
      </c>
      <c r="E36" t="s">
        <v>104</v>
      </c>
    </row>
    <row r="37" spans="1:6" x14ac:dyDescent="0.25">
      <c r="C37" s="2"/>
    </row>
    <row r="38" spans="1:6" x14ac:dyDescent="0.25">
      <c r="C38" s="2"/>
    </row>
    <row r="39" spans="1:6" x14ac:dyDescent="0.25">
      <c r="C39" s="2"/>
    </row>
    <row r="40" spans="1:6" x14ac:dyDescent="0.25">
      <c r="C40" s="2"/>
    </row>
    <row r="41" spans="1:6" x14ac:dyDescent="0.25">
      <c r="C41" s="2"/>
    </row>
    <row r="42" spans="1:6" x14ac:dyDescent="0.25">
      <c r="C42" s="2"/>
    </row>
    <row r="43" spans="1:6" x14ac:dyDescent="0.25">
      <c r="C43" s="2"/>
    </row>
    <row r="44" spans="1:6" x14ac:dyDescent="0.25">
      <c r="C44" s="2"/>
    </row>
    <row r="45" spans="1:6" x14ac:dyDescent="0.25">
      <c r="C45" s="2"/>
    </row>
    <row r="46" spans="1:6" x14ac:dyDescent="0.25">
      <c r="C46" s="2"/>
    </row>
    <row r="47" spans="1:6" x14ac:dyDescent="0.25">
      <c r="C47" s="2"/>
    </row>
    <row r="48" spans="1:6" x14ac:dyDescent="0.25">
      <c r="C48" s="2"/>
    </row>
  </sheetData>
  <dataValidations count="2">
    <dataValidation type="list" allowBlank="1" showInputMessage="1" showErrorMessage="1" sqref="F2:F1048576" xr:uid="{C54C2CC4-8906-4FCB-BC30-52B61220D4EB}">
      <formula1>"Yes"</formula1>
    </dataValidation>
    <dataValidation type="list" allowBlank="1" showInputMessage="1" showErrorMessage="1" sqref="D1:D110" xr:uid="{013A921C-E542-4F8F-842A-F3746684C9B2}">
      <formula1>"Family/Friend,Google,Past Client,Realtor,Website,Social Media"</formula1>
    </dataValidation>
  </dataValidations>
  <hyperlinks>
    <hyperlink ref="C2" r:id="rId1" xr:uid="{71B9DDEE-78EE-422D-8168-73D0953F62D6}"/>
    <hyperlink ref="C3" r:id="rId2" xr:uid="{1DA7C58B-8647-4790-BF4E-4B5FA9812701}"/>
    <hyperlink ref="C4" r:id="rId3" xr:uid="{DEC76086-CDA1-4B18-BBAB-4D3A24BECF83}"/>
    <hyperlink ref="C5" r:id="rId4" xr:uid="{8082AB85-1F04-42BB-AA6A-D783DD36AB3D}"/>
    <hyperlink ref="C6" r:id="rId5" xr:uid="{77F8D96A-7165-4F1C-841A-17EEC7504D16}"/>
    <hyperlink ref="C7" r:id="rId6" xr:uid="{08B6DE64-514F-47A7-9E0E-EDF8947CD465}"/>
    <hyperlink ref="C8" r:id="rId7" xr:uid="{77DCC3F7-894B-40AF-BC85-A8428A7EAF4D}"/>
    <hyperlink ref="C9" r:id="rId8" xr:uid="{A733E8B7-9FA6-4406-B792-29BA2F15B707}"/>
    <hyperlink ref="C10" r:id="rId9" xr:uid="{A6019F5B-0B27-48D6-9F16-FC8DB0497A8D}"/>
    <hyperlink ref="C11" r:id="rId10" xr:uid="{7D942DEF-A5BB-4040-91A2-97A462A945B1}"/>
    <hyperlink ref="C12" r:id="rId11" xr:uid="{D964DF89-F272-4BE6-94A8-7134B075EE31}"/>
    <hyperlink ref="C13" r:id="rId12" xr:uid="{46F5C9EA-F9CF-43E5-A32E-7D3418FA7B7C}"/>
    <hyperlink ref="C14" r:id="rId13" xr:uid="{D1D8E1E1-EE28-4632-946F-701453E58C6F}"/>
    <hyperlink ref="C15" r:id="rId14" xr:uid="{1D06D1D0-35E7-4431-A1B4-9A43F3D96864}"/>
    <hyperlink ref="C16" r:id="rId15" xr:uid="{DD6D057E-D8A4-43B4-8A4D-2285AA7868DC}"/>
    <hyperlink ref="C17" r:id="rId16" xr:uid="{6381CA3D-A01B-4CFE-A79D-8236657A570B}"/>
    <hyperlink ref="C18" r:id="rId17" xr:uid="{BAE33794-BB0B-4F4E-92CF-032A9FFECE32}"/>
    <hyperlink ref="C19" r:id="rId18" xr:uid="{971E77AB-A8F0-4169-BA15-7DF693C1307D}"/>
    <hyperlink ref="C20" r:id="rId19" xr:uid="{28DC1FBA-E78B-41A2-B3E3-085951AB4549}"/>
    <hyperlink ref="C21" r:id="rId20" xr:uid="{71090AD8-07FD-4BFF-96AD-99BA196EEC70}"/>
    <hyperlink ref="C22" r:id="rId21" xr:uid="{86B1C0FF-E42A-45F6-988D-733B374C10C0}"/>
    <hyperlink ref="C23" r:id="rId22" xr:uid="{D01EC0B4-C985-47CF-9EAE-EB1AF7012C3F}"/>
    <hyperlink ref="C24" r:id="rId23" xr:uid="{4274F3D8-B747-41C7-83BA-D39060F5CE68}"/>
    <hyperlink ref="C25" r:id="rId24" xr:uid="{5829D1C2-96B1-4AC7-9A6D-3258CEAA0562}"/>
    <hyperlink ref="C26" r:id="rId25" xr:uid="{27B0C97C-085A-41F7-A436-6DC8C42CCEF5}"/>
    <hyperlink ref="C27" r:id="rId26" xr:uid="{6CFF2467-917E-433A-94AE-8245EE393528}"/>
    <hyperlink ref="C28" r:id="rId27" xr:uid="{0FFD867B-D892-4585-9A20-8DCD75F83D56}"/>
    <hyperlink ref="C29" r:id="rId28" xr:uid="{74D3E085-67EE-4FA4-8E06-709B1EF83259}"/>
    <hyperlink ref="C30" r:id="rId29" xr:uid="{C5FE3A52-89CD-4C3E-A1A7-D72CBBEC6F4C}"/>
    <hyperlink ref="C31" r:id="rId30" xr:uid="{947943FA-C95C-42EF-91BE-52D24A3424AF}"/>
    <hyperlink ref="C32" r:id="rId31" xr:uid="{2B5E5BBC-AE7C-441F-83FF-EEB7B2E31AEC}"/>
    <hyperlink ref="C33" r:id="rId32" xr:uid="{27C514F7-6238-44D9-ABE1-119F0934FD08}"/>
    <hyperlink ref="C34" r:id="rId33" xr:uid="{305EF452-6EB1-4C68-AA0C-43BE116794CC}"/>
    <hyperlink ref="C35" r:id="rId34" xr:uid="{53802CF1-A985-483C-AEFC-548079DB0241}"/>
    <hyperlink ref="C36" r:id="rId35" xr:uid="{94E41E55-ABDF-47B6-B9C8-1CF0601F3210}"/>
  </hyperlinks>
  <pageMargins left="0.7" right="0.7" top="0.75" bottom="0.75" header="0.3" footer="0.3"/>
  <tableParts count="1">
    <tablePart r:id="rId3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C9CB1-56B2-4DD2-A997-09462719512D}">
  <sheetPr codeName="Sheet2"/>
  <dimension ref="A1:C2"/>
  <sheetViews>
    <sheetView workbookViewId="0">
      <selection activeCell="O13" sqref="O13"/>
    </sheetView>
  </sheetViews>
  <sheetFormatPr defaultRowHeight="15" x14ac:dyDescent="0.25"/>
  <cols>
    <col min="1" max="1" width="15.7109375" style="8" bestFit="1" customWidth="1"/>
    <col min="2" max="2" width="14.85546875" style="8" bestFit="1" customWidth="1"/>
    <col min="3" max="3" width="13.5703125" style="8" bestFit="1" customWidth="1"/>
    <col min="4" max="16384" width="9.140625" style="8"/>
  </cols>
  <sheetData>
    <row r="1" spans="1:3" x14ac:dyDescent="0.25">
      <c r="A1" s="9" t="s">
        <v>122</v>
      </c>
      <c r="B1" s="9" t="s">
        <v>123</v>
      </c>
      <c r="C1" s="9" t="s">
        <v>124</v>
      </c>
    </row>
    <row r="2" spans="1:3" x14ac:dyDescent="0.25">
      <c r="A2" s="9">
        <f>GETPIVOTDATA("Lead Date",Pivots!$A$3)</f>
        <v>35</v>
      </c>
      <c r="B2" s="9">
        <f>GETPIVOTDATA("Lead Date",Pivots!$D$4)</f>
        <v>14</v>
      </c>
      <c r="C2" s="10">
        <f>IFERROR(B2/A2,0)</f>
        <v>0.4</v>
      </c>
    </row>
  </sheetData>
  <sheetProtection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D0888-5B18-4394-919E-796A5720E3AD}">
  <sheetPr codeName="Sheet3"/>
  <dimension ref="A1:M19"/>
  <sheetViews>
    <sheetView topLeftCell="B1" workbookViewId="0">
      <selection activeCell="N20" sqref="N20"/>
    </sheetView>
  </sheetViews>
  <sheetFormatPr defaultRowHeight="15" x14ac:dyDescent="0.25"/>
  <cols>
    <col min="1" max="1" width="23" bestFit="1" customWidth="1"/>
    <col min="2" max="2" width="16.7109375" customWidth="1"/>
    <col min="3" max="3" width="21.42578125" bestFit="1" customWidth="1"/>
    <col min="4" max="4" width="11" bestFit="1" customWidth="1"/>
    <col min="5" max="5" width="10.42578125" customWidth="1"/>
    <col min="6" max="6" width="14" bestFit="1" customWidth="1"/>
    <col min="7" max="7" width="19.28515625" style="7" customWidth="1"/>
    <col min="10" max="10" width="11" bestFit="1" customWidth="1"/>
    <col min="11" max="11" width="14.140625" style="1" customWidth="1"/>
    <col min="12" max="12" width="16.5703125" style="7" customWidth="1"/>
    <col min="13" max="13" width="15" customWidth="1"/>
  </cols>
  <sheetData>
    <row r="1" spans="1:13" x14ac:dyDescent="0.25">
      <c r="A1" t="s">
        <v>125</v>
      </c>
      <c r="B1" t="s">
        <v>3</v>
      </c>
      <c r="C1" t="s">
        <v>4</v>
      </c>
      <c r="D1" t="s">
        <v>126</v>
      </c>
      <c r="E1" t="s">
        <v>127</v>
      </c>
      <c r="F1" t="s">
        <v>128</v>
      </c>
      <c r="G1" s="7" t="s">
        <v>182</v>
      </c>
      <c r="H1" t="s">
        <v>129</v>
      </c>
      <c r="I1" t="s">
        <v>130</v>
      </c>
      <c r="J1" t="s">
        <v>131</v>
      </c>
      <c r="K1" s="1" t="s">
        <v>132</v>
      </c>
      <c r="L1" s="7" t="s">
        <v>133</v>
      </c>
      <c r="M1" t="s">
        <v>134</v>
      </c>
    </row>
    <row r="2" spans="1:13" x14ac:dyDescent="0.25">
      <c r="A2" t="s">
        <v>135</v>
      </c>
      <c r="B2" t="s">
        <v>9</v>
      </c>
      <c r="C2" t="s">
        <v>152</v>
      </c>
      <c r="D2" t="s">
        <v>163</v>
      </c>
      <c r="E2" t="s">
        <v>169</v>
      </c>
      <c r="F2" t="s">
        <v>174</v>
      </c>
      <c r="G2" s="7">
        <v>55000</v>
      </c>
      <c r="H2" t="s">
        <v>5</v>
      </c>
      <c r="I2" t="s">
        <v>5</v>
      </c>
      <c r="J2" t="s">
        <v>179</v>
      </c>
      <c r="M2">
        <v>90</v>
      </c>
    </row>
    <row r="3" spans="1:13" x14ac:dyDescent="0.25">
      <c r="A3" t="s">
        <v>136</v>
      </c>
      <c r="B3" t="s">
        <v>11</v>
      </c>
      <c r="D3" t="s">
        <v>165</v>
      </c>
      <c r="E3" t="s">
        <v>170</v>
      </c>
      <c r="F3" t="s">
        <v>175</v>
      </c>
      <c r="G3" s="7">
        <v>745000</v>
      </c>
      <c r="H3" t="s">
        <v>5</v>
      </c>
      <c r="I3" t="s">
        <v>181</v>
      </c>
      <c r="J3" t="s">
        <v>180</v>
      </c>
      <c r="K3" s="1">
        <v>45871</v>
      </c>
      <c r="L3" s="7">
        <v>0</v>
      </c>
      <c r="M3">
        <v>100</v>
      </c>
    </row>
    <row r="4" spans="1:13" x14ac:dyDescent="0.25">
      <c r="A4" t="s">
        <v>137</v>
      </c>
      <c r="B4" t="s">
        <v>7</v>
      </c>
      <c r="C4" t="s">
        <v>153</v>
      </c>
      <c r="D4" t="s">
        <v>164</v>
      </c>
      <c r="E4" t="s">
        <v>171</v>
      </c>
      <c r="F4" t="s">
        <v>176</v>
      </c>
      <c r="G4" s="7">
        <v>50000</v>
      </c>
      <c r="H4" t="s">
        <v>5</v>
      </c>
      <c r="I4" t="s">
        <v>5</v>
      </c>
      <c r="J4" t="s">
        <v>180</v>
      </c>
      <c r="K4" s="1">
        <v>45811</v>
      </c>
      <c r="L4" s="7">
        <v>75</v>
      </c>
      <c r="M4">
        <v>88</v>
      </c>
    </row>
    <row r="5" spans="1:13" x14ac:dyDescent="0.25">
      <c r="A5" t="s">
        <v>138</v>
      </c>
      <c r="B5" t="s">
        <v>8</v>
      </c>
      <c r="C5" t="s">
        <v>154</v>
      </c>
      <c r="D5" t="s">
        <v>164</v>
      </c>
      <c r="E5" t="s">
        <v>172</v>
      </c>
      <c r="F5" t="s">
        <v>177</v>
      </c>
      <c r="G5" s="7">
        <v>10000</v>
      </c>
      <c r="H5" t="s">
        <v>181</v>
      </c>
      <c r="I5" t="s">
        <v>181</v>
      </c>
      <c r="J5" t="s">
        <v>179</v>
      </c>
      <c r="M5">
        <v>140</v>
      </c>
    </row>
    <row r="6" spans="1:13" x14ac:dyDescent="0.25">
      <c r="A6" t="s">
        <v>139</v>
      </c>
      <c r="B6" t="s">
        <v>9</v>
      </c>
      <c r="C6" t="s">
        <v>155</v>
      </c>
      <c r="D6" t="s">
        <v>168</v>
      </c>
      <c r="E6" t="s">
        <v>169</v>
      </c>
      <c r="F6" t="s">
        <v>175</v>
      </c>
      <c r="G6" s="7">
        <v>150000</v>
      </c>
      <c r="H6" t="s">
        <v>5</v>
      </c>
      <c r="I6" t="s">
        <v>5</v>
      </c>
      <c r="J6" t="s">
        <v>179</v>
      </c>
      <c r="M6">
        <v>105</v>
      </c>
    </row>
    <row r="7" spans="1:13" x14ac:dyDescent="0.25">
      <c r="A7" t="s">
        <v>140</v>
      </c>
      <c r="B7" t="s">
        <v>7</v>
      </c>
      <c r="C7" t="s">
        <v>156</v>
      </c>
      <c r="D7" t="s">
        <v>163</v>
      </c>
      <c r="E7" t="s">
        <v>173</v>
      </c>
      <c r="F7" t="s">
        <v>178</v>
      </c>
      <c r="G7" s="7">
        <v>250000</v>
      </c>
      <c r="H7" t="s">
        <v>5</v>
      </c>
      <c r="I7" t="s">
        <v>181</v>
      </c>
      <c r="J7" t="s">
        <v>180</v>
      </c>
      <c r="K7" s="1">
        <v>45713</v>
      </c>
      <c r="L7" s="7">
        <v>50</v>
      </c>
      <c r="M7">
        <v>130</v>
      </c>
    </row>
    <row r="8" spans="1:13" x14ac:dyDescent="0.25">
      <c r="A8" t="s">
        <v>141</v>
      </c>
      <c r="B8" t="s">
        <v>6</v>
      </c>
      <c r="D8" t="s">
        <v>165</v>
      </c>
      <c r="E8" t="s">
        <v>170</v>
      </c>
      <c r="F8" t="s">
        <v>176</v>
      </c>
      <c r="G8" s="7">
        <v>3500000</v>
      </c>
      <c r="H8" t="s">
        <v>5</v>
      </c>
      <c r="I8" t="s">
        <v>181</v>
      </c>
      <c r="J8" t="s">
        <v>179</v>
      </c>
      <c r="M8">
        <v>85</v>
      </c>
    </row>
    <row r="9" spans="1:13" x14ac:dyDescent="0.25">
      <c r="A9" t="s">
        <v>142</v>
      </c>
      <c r="B9" t="s">
        <v>9</v>
      </c>
      <c r="C9" t="s">
        <v>157</v>
      </c>
      <c r="D9" t="s">
        <v>166</v>
      </c>
      <c r="E9" t="s">
        <v>169</v>
      </c>
      <c r="F9" t="s">
        <v>177</v>
      </c>
      <c r="G9" s="7">
        <v>320000</v>
      </c>
      <c r="H9" t="s">
        <v>181</v>
      </c>
      <c r="I9" t="s">
        <v>5</v>
      </c>
      <c r="J9" t="s">
        <v>180</v>
      </c>
      <c r="K9" s="1">
        <v>45898</v>
      </c>
      <c r="L9" s="7">
        <v>50</v>
      </c>
      <c r="M9">
        <v>150</v>
      </c>
    </row>
    <row r="10" spans="1:13" x14ac:dyDescent="0.25">
      <c r="A10" t="s">
        <v>143</v>
      </c>
      <c r="B10" t="s">
        <v>10</v>
      </c>
      <c r="D10" t="s">
        <v>163</v>
      </c>
      <c r="E10" t="s">
        <v>170</v>
      </c>
      <c r="F10" t="s">
        <v>174</v>
      </c>
      <c r="G10" s="7">
        <v>800000</v>
      </c>
      <c r="H10" t="s">
        <v>5</v>
      </c>
      <c r="I10" t="s">
        <v>181</v>
      </c>
      <c r="J10" t="s">
        <v>180</v>
      </c>
      <c r="K10" s="1">
        <v>45719</v>
      </c>
      <c r="L10" s="7">
        <v>75</v>
      </c>
      <c r="M10">
        <v>90</v>
      </c>
    </row>
    <row r="11" spans="1:13" x14ac:dyDescent="0.25">
      <c r="A11" t="s">
        <v>144</v>
      </c>
      <c r="B11" t="s">
        <v>11</v>
      </c>
      <c r="D11" t="s">
        <v>167</v>
      </c>
      <c r="E11" t="s">
        <v>172</v>
      </c>
      <c r="F11" t="s">
        <v>175</v>
      </c>
      <c r="G11" s="7">
        <v>600000</v>
      </c>
      <c r="H11" t="s">
        <v>5</v>
      </c>
      <c r="I11" t="s">
        <v>5</v>
      </c>
      <c r="J11" t="s">
        <v>180</v>
      </c>
      <c r="K11" s="1">
        <v>45753</v>
      </c>
      <c r="L11" s="7">
        <v>0</v>
      </c>
      <c r="M11">
        <v>95</v>
      </c>
    </row>
    <row r="12" spans="1:13" x14ac:dyDescent="0.25">
      <c r="A12" t="s">
        <v>145</v>
      </c>
      <c r="B12" t="s">
        <v>7</v>
      </c>
      <c r="C12" t="s">
        <v>158</v>
      </c>
      <c r="D12" t="s">
        <v>164</v>
      </c>
      <c r="E12" t="s">
        <v>173</v>
      </c>
      <c r="F12" t="s">
        <v>178</v>
      </c>
      <c r="G12" s="7">
        <v>100000</v>
      </c>
      <c r="H12" t="s">
        <v>181</v>
      </c>
      <c r="I12" t="s">
        <v>181</v>
      </c>
      <c r="J12" t="s">
        <v>180</v>
      </c>
      <c r="K12" s="1">
        <v>45853</v>
      </c>
      <c r="L12" s="7">
        <v>0</v>
      </c>
      <c r="M12">
        <v>125</v>
      </c>
    </row>
    <row r="13" spans="1:13" x14ac:dyDescent="0.25">
      <c r="A13" t="s">
        <v>146</v>
      </c>
      <c r="B13" t="s">
        <v>9</v>
      </c>
      <c r="C13" t="s">
        <v>159</v>
      </c>
      <c r="D13" t="s">
        <v>168</v>
      </c>
      <c r="E13" t="s">
        <v>171</v>
      </c>
      <c r="F13" t="s">
        <v>176</v>
      </c>
      <c r="G13" s="7">
        <v>35000</v>
      </c>
      <c r="H13" t="s">
        <v>5</v>
      </c>
      <c r="I13" t="s">
        <v>5</v>
      </c>
      <c r="J13" t="s">
        <v>179</v>
      </c>
      <c r="M13">
        <v>85</v>
      </c>
    </row>
    <row r="14" spans="1:13" x14ac:dyDescent="0.25">
      <c r="A14" t="s">
        <v>147</v>
      </c>
      <c r="B14" t="s">
        <v>6</v>
      </c>
      <c r="D14" t="s">
        <v>166</v>
      </c>
      <c r="E14" t="s">
        <v>169</v>
      </c>
      <c r="F14" t="s">
        <v>165</v>
      </c>
      <c r="G14" s="6">
        <v>150000</v>
      </c>
      <c r="H14" t="s">
        <v>181</v>
      </c>
      <c r="I14" t="s">
        <v>181</v>
      </c>
      <c r="J14" t="s">
        <v>180</v>
      </c>
      <c r="K14" s="1">
        <v>45792</v>
      </c>
      <c r="L14" s="7">
        <v>25</v>
      </c>
      <c r="M14">
        <v>135</v>
      </c>
    </row>
    <row r="15" spans="1:13" x14ac:dyDescent="0.25">
      <c r="A15" t="s">
        <v>148</v>
      </c>
      <c r="B15" t="s">
        <v>10</v>
      </c>
      <c r="D15" t="s">
        <v>165</v>
      </c>
      <c r="E15" t="s">
        <v>170</v>
      </c>
      <c r="F15" t="s">
        <v>176</v>
      </c>
      <c r="G15" s="7">
        <v>16000</v>
      </c>
      <c r="H15" t="s">
        <v>5</v>
      </c>
      <c r="I15" t="s">
        <v>181</v>
      </c>
      <c r="J15" t="s">
        <v>179</v>
      </c>
      <c r="M15">
        <v>90</v>
      </c>
    </row>
    <row r="16" spans="1:13" x14ac:dyDescent="0.25">
      <c r="A16" t="s">
        <v>149</v>
      </c>
      <c r="B16" t="s">
        <v>7</v>
      </c>
      <c r="C16" t="s">
        <v>160</v>
      </c>
      <c r="D16" t="s">
        <v>167</v>
      </c>
      <c r="E16" t="s">
        <v>172</v>
      </c>
      <c r="F16" t="s">
        <v>175</v>
      </c>
      <c r="G16" s="7">
        <v>250000</v>
      </c>
      <c r="H16" t="s">
        <v>5</v>
      </c>
      <c r="I16" t="s">
        <v>5</v>
      </c>
      <c r="J16" t="s">
        <v>180</v>
      </c>
      <c r="K16" s="1">
        <v>45734</v>
      </c>
      <c r="L16" s="7">
        <v>25</v>
      </c>
      <c r="M16">
        <v>110</v>
      </c>
    </row>
    <row r="17" spans="1:13" x14ac:dyDescent="0.25">
      <c r="A17" t="s">
        <v>16</v>
      </c>
      <c r="B17" t="s">
        <v>9</v>
      </c>
      <c r="C17" t="s">
        <v>161</v>
      </c>
      <c r="D17" t="s">
        <v>163</v>
      </c>
      <c r="E17" t="s">
        <v>173</v>
      </c>
      <c r="F17" t="s">
        <v>177</v>
      </c>
      <c r="G17" s="7">
        <v>150000</v>
      </c>
      <c r="H17" t="s">
        <v>181</v>
      </c>
      <c r="I17" t="s">
        <v>181</v>
      </c>
      <c r="J17" t="s">
        <v>180</v>
      </c>
      <c r="K17" s="1">
        <v>45807</v>
      </c>
      <c r="L17" s="7">
        <v>25</v>
      </c>
      <c r="M17">
        <v>145</v>
      </c>
    </row>
    <row r="18" spans="1:13" x14ac:dyDescent="0.25">
      <c r="A18" t="s">
        <v>150</v>
      </c>
      <c r="B18" t="s">
        <v>11</v>
      </c>
      <c r="D18" t="s">
        <v>164</v>
      </c>
      <c r="E18" t="s">
        <v>170</v>
      </c>
      <c r="F18" t="s">
        <v>174</v>
      </c>
      <c r="G18" s="7">
        <v>3500000</v>
      </c>
      <c r="H18" t="s">
        <v>5</v>
      </c>
      <c r="I18" t="s">
        <v>181</v>
      </c>
      <c r="J18" t="s">
        <v>179</v>
      </c>
      <c r="M18">
        <v>80</v>
      </c>
    </row>
    <row r="19" spans="1:13" x14ac:dyDescent="0.25">
      <c r="A19" t="s">
        <v>151</v>
      </c>
      <c r="B19" t="s">
        <v>8</v>
      </c>
      <c r="C19" t="s">
        <v>162</v>
      </c>
      <c r="D19" t="s">
        <v>167</v>
      </c>
      <c r="E19" t="s">
        <v>171</v>
      </c>
      <c r="F19" t="s">
        <v>178</v>
      </c>
      <c r="G19" s="7">
        <v>360000</v>
      </c>
      <c r="H19" t="s">
        <v>181</v>
      </c>
      <c r="I19" t="s">
        <v>5</v>
      </c>
      <c r="J19" t="s">
        <v>180</v>
      </c>
      <c r="K19" s="1">
        <v>45902</v>
      </c>
      <c r="L19" s="7">
        <v>50</v>
      </c>
      <c r="M19">
        <v>135</v>
      </c>
    </row>
  </sheetData>
  <dataValidations count="8">
    <dataValidation type="list" allowBlank="1" showInputMessage="1" showErrorMessage="1" sqref="B2:B1048576" xr:uid="{66A0C51A-C98C-4090-A091-480F1A343132}">
      <formula1>"Family/Friend,Google,Past Client,Realtor,Website,Social Media"</formula1>
    </dataValidation>
    <dataValidation type="list" allowBlank="1" showInputMessage="1" showErrorMessage="1" sqref="H2:H1048576" xr:uid="{00D1300F-8396-4B0C-8EB4-508BA1DE2A5C}">
      <formula1>"Yes, No"</formula1>
    </dataValidation>
    <dataValidation type="list" allowBlank="1" showInputMessage="1" showErrorMessage="1" sqref="I2:I1048576" xr:uid="{22BA148F-07E9-41FA-846A-04F2C814DD88}">
      <formula1>"Yes,No"</formula1>
    </dataValidation>
    <dataValidation type="list" allowBlank="1" showInputMessage="1" showErrorMessage="1" sqref="J2:J1048576" xr:uid="{C9A5BF52-E3F6-4A5A-9AD5-E2741C32A372}">
      <formula1>"Committed,Funded"</formula1>
    </dataValidation>
    <dataValidation type="whole" allowBlank="1" showInputMessage="1" showErrorMessage="1" sqref="L1:L1048576" xr:uid="{40D607F1-B486-4FFC-A8D0-6D3CDE4BFFDD}">
      <formula1>0</formula1>
      <formula2>999999999999999000</formula2>
    </dataValidation>
    <dataValidation type="list" allowBlank="1" showInputMessage="1" showErrorMessage="1" sqref="D2:D1048576" xr:uid="{6881E28D-9998-412D-99CF-B242968BCD1B}">
      <formula1>"North Zone, South Zone, East Zone, West Zone, Central, Other"</formula1>
    </dataValidation>
    <dataValidation type="list" allowBlank="1" showInputMessage="1" showErrorMessage="1" sqref="E2:E1048576" xr:uid="{3D58E92F-CF65-4DB6-8C38-C49A68E754E5}">
      <formula1>"Purchase ,Refinance, Renewal, Transfer ,HELOC"</formula1>
    </dataValidation>
    <dataValidation type="list" allowBlank="1" showInputMessage="1" showErrorMessage="1" sqref="F2:F1048576" xr:uid="{4572D2B7-E3B1-4073-AF2B-6E819A0ADDD2}">
      <formula1>"RFC Bank ,SBSC Bank, Private Lender, Credit Union, NBFC ,Other"</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AA1A8-04E6-4482-B527-40F110E7A84D}">
  <sheetPr codeName="Sheet4"/>
  <dimension ref="A1:H39"/>
  <sheetViews>
    <sheetView tabSelected="1" workbookViewId="0">
      <selection activeCell="F20" sqref="F20"/>
    </sheetView>
  </sheetViews>
  <sheetFormatPr defaultRowHeight="15" x14ac:dyDescent="0.25"/>
  <cols>
    <col min="1" max="1" width="31.85546875" style="8" bestFit="1" customWidth="1"/>
    <col min="2" max="2" width="23.140625" style="8" bestFit="1" customWidth="1"/>
    <col min="3" max="3" width="22" style="8" bestFit="1" customWidth="1"/>
    <col min="4" max="4" width="24.5703125" style="8" bestFit="1" customWidth="1"/>
    <col min="5" max="5" width="24.28515625" style="8" bestFit="1" customWidth="1"/>
    <col min="6" max="6" width="26.7109375" style="8" bestFit="1" customWidth="1"/>
    <col min="7" max="16384" width="9.140625" style="8"/>
  </cols>
  <sheetData>
    <row r="1" spans="1:8" ht="23.25" x14ac:dyDescent="0.35">
      <c r="A1" s="12" t="s">
        <v>187</v>
      </c>
      <c r="B1" s="12"/>
      <c r="C1" s="12"/>
      <c r="D1" s="9"/>
      <c r="E1" s="9"/>
      <c r="F1" s="9"/>
      <c r="G1" s="9"/>
      <c r="H1" s="9"/>
    </row>
    <row r="2" spans="1:8" x14ac:dyDescent="0.25">
      <c r="A2" s="9"/>
      <c r="B2" s="9"/>
      <c r="C2" s="9"/>
      <c r="D2" s="9"/>
      <c r="E2" s="9"/>
      <c r="F2" s="9"/>
      <c r="G2" s="9"/>
      <c r="H2" s="9"/>
    </row>
    <row r="3" spans="1:8" x14ac:dyDescent="0.25">
      <c r="A3" s="9"/>
      <c r="B3" s="9"/>
      <c r="C3" s="9"/>
      <c r="D3" s="9"/>
      <c r="E3" s="9"/>
      <c r="F3" s="9"/>
      <c r="G3" s="9"/>
      <c r="H3" s="9"/>
    </row>
    <row r="4" spans="1:8" ht="18.75" x14ac:dyDescent="0.3">
      <c r="A4" s="13" t="s">
        <v>188</v>
      </c>
      <c r="B4" s="13" t="s">
        <v>189</v>
      </c>
      <c r="C4" s="13" t="s">
        <v>190</v>
      </c>
      <c r="D4" s="13" t="s">
        <v>191</v>
      </c>
      <c r="E4" s="13" t="s">
        <v>192</v>
      </c>
      <c r="F4" s="13" t="s">
        <v>193</v>
      </c>
      <c r="G4" s="9"/>
      <c r="H4" s="9"/>
    </row>
    <row r="5" spans="1:8" x14ac:dyDescent="0.25">
      <c r="A5" s="14">
        <f>GETPIVOTDATA("Mortgage Amount",Pivots!$D$49)</f>
        <v>3775000</v>
      </c>
      <c r="B5" s="9">
        <f>GETPIVOTDATA("Client Name",Pivots!$G$50)</f>
        <v>11</v>
      </c>
      <c r="C5" s="15">
        <f>GETPIVOTDATA("BPS Expected",Pivots!$D$42)</f>
        <v>118.45454545454545</v>
      </c>
      <c r="D5" s="10">
        <f>GETPIVOTDATA("Client Name",Pivots!$G$42,"MPP","Yes")/B5</f>
        <v>0.45454545454545453</v>
      </c>
      <c r="E5" s="16">
        <f>GETPIVOTDATA("Mortgage Amount",Pivots!$A$54)</f>
        <v>2695000</v>
      </c>
      <c r="F5" s="17">
        <f>GETPIVOTDATA("Gift Card Value",Pivots!$D$54)</f>
        <v>375</v>
      </c>
      <c r="G5" s="9"/>
      <c r="H5" s="9"/>
    </row>
    <row r="6" spans="1:8" x14ac:dyDescent="0.25">
      <c r="A6" s="9"/>
      <c r="B6" s="9"/>
      <c r="C6" s="9"/>
      <c r="D6" s="9"/>
      <c r="E6" s="9"/>
      <c r="F6" s="9"/>
      <c r="G6" s="9"/>
      <c r="H6" s="9"/>
    </row>
    <row r="7" spans="1:8" x14ac:dyDescent="0.25">
      <c r="A7" s="9"/>
      <c r="B7" s="9"/>
      <c r="C7" s="9"/>
      <c r="D7" s="9"/>
      <c r="E7" s="9"/>
      <c r="F7" s="9"/>
      <c r="G7" s="9"/>
      <c r="H7" s="9"/>
    </row>
    <row r="8" spans="1:8" x14ac:dyDescent="0.25">
      <c r="A8" s="9"/>
      <c r="B8" s="9"/>
      <c r="C8" s="9"/>
      <c r="D8" s="9"/>
      <c r="E8" s="9"/>
      <c r="F8" s="9"/>
      <c r="G8" s="9"/>
      <c r="H8" s="9"/>
    </row>
    <row r="9" spans="1:8" x14ac:dyDescent="0.25">
      <c r="A9" s="9"/>
      <c r="B9" s="9"/>
      <c r="C9" s="9"/>
      <c r="D9" s="9"/>
      <c r="E9" s="9"/>
      <c r="F9" s="9"/>
      <c r="G9" s="9"/>
      <c r="H9" s="9"/>
    </row>
    <row r="10" spans="1:8" x14ac:dyDescent="0.25">
      <c r="A10" s="9"/>
      <c r="B10" s="9"/>
      <c r="C10" s="9"/>
      <c r="D10" s="9"/>
      <c r="E10" s="9"/>
      <c r="F10" s="9"/>
      <c r="G10" s="9"/>
      <c r="H10" s="9"/>
    </row>
    <row r="11" spans="1:8" x14ac:dyDescent="0.25">
      <c r="A11" s="9"/>
      <c r="B11" s="9"/>
      <c r="C11" s="9"/>
      <c r="D11" s="9"/>
      <c r="E11" s="9"/>
      <c r="F11" s="9"/>
      <c r="G11" s="9"/>
      <c r="H11" s="9"/>
    </row>
    <row r="12" spans="1:8" x14ac:dyDescent="0.25">
      <c r="A12" s="9"/>
      <c r="B12" s="9"/>
      <c r="C12" s="9"/>
      <c r="D12" s="9"/>
      <c r="E12" s="9"/>
      <c r="F12" s="9"/>
      <c r="G12" s="9"/>
      <c r="H12" s="9"/>
    </row>
    <row r="13" spans="1:8" x14ac:dyDescent="0.25">
      <c r="A13" s="9"/>
      <c r="B13" s="9"/>
      <c r="C13" s="9"/>
      <c r="D13" s="9"/>
      <c r="E13" s="9"/>
      <c r="F13" s="9"/>
      <c r="G13" s="9"/>
      <c r="H13" s="9"/>
    </row>
    <row r="14" spans="1:8" x14ac:dyDescent="0.25">
      <c r="A14" s="9"/>
      <c r="B14" s="9"/>
      <c r="C14" s="9"/>
      <c r="D14" s="9"/>
      <c r="E14" s="9"/>
      <c r="F14" s="9"/>
      <c r="G14" s="9"/>
      <c r="H14" s="9"/>
    </row>
    <row r="15" spans="1:8" x14ac:dyDescent="0.25">
      <c r="A15" s="9"/>
      <c r="B15" s="9"/>
      <c r="C15" s="9"/>
      <c r="D15" s="9"/>
      <c r="E15" s="9"/>
      <c r="F15" s="9"/>
      <c r="G15" s="9"/>
      <c r="H15" s="9"/>
    </row>
    <row r="16" spans="1:8" x14ac:dyDescent="0.25">
      <c r="A16" s="9"/>
      <c r="B16" s="9"/>
      <c r="C16" s="9"/>
      <c r="D16" s="9"/>
      <c r="E16" s="9"/>
      <c r="F16" s="9"/>
      <c r="G16" s="9"/>
      <c r="H16" s="9"/>
    </row>
    <row r="17" spans="1:8" x14ac:dyDescent="0.25">
      <c r="A17" s="9"/>
      <c r="B17" s="9"/>
      <c r="C17" s="9"/>
      <c r="D17" s="9"/>
      <c r="E17" s="9"/>
      <c r="F17" s="9"/>
      <c r="G17" s="9"/>
      <c r="H17" s="9"/>
    </row>
    <row r="18" spans="1:8" x14ac:dyDescent="0.25">
      <c r="A18" s="9"/>
      <c r="B18" s="9"/>
      <c r="C18" s="9"/>
      <c r="D18" s="9"/>
      <c r="E18" s="9"/>
      <c r="F18" s="9"/>
      <c r="G18" s="9"/>
      <c r="H18" s="9"/>
    </row>
    <row r="19" spans="1:8" x14ac:dyDescent="0.25">
      <c r="A19" s="9"/>
      <c r="B19" s="9"/>
      <c r="C19" s="9"/>
      <c r="D19" s="9"/>
      <c r="E19" s="9"/>
      <c r="F19" s="9"/>
      <c r="G19" s="9"/>
      <c r="H19" s="9"/>
    </row>
    <row r="20" spans="1:8" x14ac:dyDescent="0.25">
      <c r="A20" s="9"/>
      <c r="B20" s="9"/>
      <c r="C20" s="9"/>
      <c r="D20" s="9"/>
      <c r="E20" s="9"/>
      <c r="F20" s="9"/>
      <c r="G20" s="9"/>
      <c r="H20" s="9"/>
    </row>
    <row r="21" spans="1:8" x14ac:dyDescent="0.25">
      <c r="A21" s="9"/>
      <c r="B21" s="9"/>
      <c r="C21" s="9"/>
      <c r="D21" s="9"/>
      <c r="E21" s="9"/>
      <c r="F21" s="9"/>
      <c r="G21" s="9"/>
      <c r="H21" s="9"/>
    </row>
    <row r="22" spans="1:8" x14ac:dyDescent="0.25">
      <c r="A22" s="9"/>
      <c r="B22" s="9"/>
      <c r="C22" s="9"/>
      <c r="D22" s="9"/>
      <c r="E22" s="9"/>
      <c r="F22" s="9"/>
      <c r="G22" s="9"/>
      <c r="H22" s="9"/>
    </row>
    <row r="23" spans="1:8" x14ac:dyDescent="0.25">
      <c r="A23" s="9"/>
      <c r="B23" s="9"/>
      <c r="C23" s="9"/>
      <c r="D23" s="9"/>
      <c r="E23" s="9"/>
      <c r="F23" s="9"/>
      <c r="G23" s="9"/>
      <c r="H23" s="9"/>
    </row>
    <row r="24" spans="1:8" x14ac:dyDescent="0.25">
      <c r="A24" s="9"/>
      <c r="B24" s="9"/>
      <c r="C24" s="9"/>
      <c r="D24" s="9"/>
      <c r="E24" s="9"/>
      <c r="F24" s="9"/>
      <c r="G24" s="9"/>
      <c r="H24" s="9"/>
    </row>
    <row r="25" spans="1:8" x14ac:dyDescent="0.25">
      <c r="A25" s="9"/>
      <c r="B25" s="9"/>
      <c r="C25" s="9"/>
      <c r="D25" s="9"/>
      <c r="E25" s="9"/>
      <c r="F25" s="9"/>
      <c r="G25" s="9"/>
      <c r="H25" s="9"/>
    </row>
    <row r="26" spans="1:8" x14ac:dyDescent="0.25">
      <c r="A26" s="9"/>
      <c r="B26" s="9"/>
      <c r="C26" s="9"/>
      <c r="D26" s="9"/>
      <c r="E26" s="9"/>
      <c r="F26" s="9"/>
      <c r="G26" s="9"/>
      <c r="H26" s="9"/>
    </row>
    <row r="27" spans="1:8" x14ac:dyDescent="0.25">
      <c r="A27" s="9"/>
      <c r="B27" s="9"/>
      <c r="C27" s="9"/>
      <c r="D27" s="9"/>
      <c r="E27" s="9"/>
      <c r="F27" s="9"/>
      <c r="G27" s="9"/>
      <c r="H27" s="9"/>
    </row>
    <row r="28" spans="1:8" x14ac:dyDescent="0.25">
      <c r="A28" s="9"/>
      <c r="B28" s="9"/>
      <c r="C28" s="9"/>
      <c r="D28" s="9"/>
      <c r="E28" s="9"/>
      <c r="F28" s="9"/>
      <c r="G28" s="9"/>
      <c r="H28" s="9"/>
    </row>
    <row r="29" spans="1:8" x14ac:dyDescent="0.25">
      <c r="A29" s="9"/>
      <c r="B29" s="9"/>
      <c r="C29" s="9"/>
      <c r="D29" s="9"/>
      <c r="E29" s="9"/>
      <c r="F29" s="9"/>
      <c r="G29" s="9"/>
      <c r="H29" s="9"/>
    </row>
    <row r="30" spans="1:8" x14ac:dyDescent="0.25">
      <c r="A30" s="9"/>
      <c r="B30" s="9"/>
      <c r="C30" s="9"/>
      <c r="D30" s="9"/>
      <c r="E30" s="9"/>
      <c r="F30" s="9"/>
      <c r="G30" s="9"/>
      <c r="H30" s="9"/>
    </row>
    <row r="31" spans="1:8" x14ac:dyDescent="0.25">
      <c r="A31" s="9"/>
      <c r="B31" s="9"/>
      <c r="C31" s="9"/>
      <c r="D31" s="9"/>
      <c r="E31" s="9"/>
      <c r="F31" s="9"/>
      <c r="G31" s="9"/>
      <c r="H31" s="9"/>
    </row>
    <row r="32" spans="1:8" x14ac:dyDescent="0.25">
      <c r="A32" s="9"/>
      <c r="B32" s="9"/>
      <c r="C32" s="9"/>
      <c r="D32" s="9"/>
      <c r="E32" s="9"/>
      <c r="F32" s="9"/>
      <c r="G32" s="9"/>
      <c r="H32" s="9"/>
    </row>
    <row r="33" spans="1:8" x14ac:dyDescent="0.25">
      <c r="A33" s="9"/>
      <c r="B33" s="9"/>
      <c r="C33" s="9"/>
      <c r="D33" s="9"/>
      <c r="E33" s="9"/>
      <c r="F33" s="9"/>
      <c r="G33" s="9"/>
      <c r="H33" s="9"/>
    </row>
    <row r="34" spans="1:8" x14ac:dyDescent="0.25">
      <c r="A34" s="9"/>
      <c r="B34" s="9"/>
      <c r="C34" s="9"/>
      <c r="D34" s="9"/>
      <c r="E34" s="9"/>
      <c r="F34" s="9"/>
      <c r="G34" s="9"/>
      <c r="H34" s="9"/>
    </row>
    <row r="35" spans="1:8" x14ac:dyDescent="0.25">
      <c r="A35" s="9"/>
      <c r="B35" s="9"/>
      <c r="C35" s="9"/>
      <c r="D35" s="9"/>
      <c r="E35" s="9"/>
      <c r="F35" s="9"/>
      <c r="G35" s="9"/>
      <c r="H35" s="9"/>
    </row>
    <row r="39" spans="1:8" x14ac:dyDescent="0.25">
      <c r="C39" s="11">
        <v>144500</v>
      </c>
    </row>
  </sheetData>
  <mergeCells count="1">
    <mergeCell ref="A1:C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FB62-E79D-47C7-A946-F23B69E222D4}">
  <sheetPr codeName="Sheet5"/>
  <dimension ref="A1:K62"/>
  <sheetViews>
    <sheetView topLeftCell="A37" workbookViewId="0">
      <selection activeCell="A55" sqref="A55"/>
    </sheetView>
  </sheetViews>
  <sheetFormatPr defaultRowHeight="15" x14ac:dyDescent="0.25"/>
  <cols>
    <col min="1" max="1" width="16.42578125" bestFit="1" customWidth="1"/>
    <col min="2" max="2" width="18" bestFit="1" customWidth="1"/>
    <col min="4" max="4" width="16.42578125" bestFit="1" customWidth="1"/>
    <col min="5" max="5" width="18" bestFit="1" customWidth="1"/>
    <col min="6" max="6" width="6.28515625" customWidth="1"/>
    <col min="7" max="7" width="16.42578125" bestFit="1" customWidth="1"/>
    <col min="8" max="8" width="18" bestFit="1" customWidth="1"/>
    <col min="9" max="9" width="5.42578125" customWidth="1"/>
    <col min="10" max="10" width="16.42578125" bestFit="1" customWidth="1"/>
    <col min="11" max="11" width="18" bestFit="1" customWidth="1"/>
  </cols>
  <sheetData>
    <row r="1" spans="1:11" x14ac:dyDescent="0.25">
      <c r="A1" s="3" t="s">
        <v>121</v>
      </c>
      <c r="B1" t="s">
        <v>194</v>
      </c>
      <c r="D1" s="3" t="s">
        <v>121</v>
      </c>
      <c r="E1" t="s">
        <v>194</v>
      </c>
      <c r="G1" s="3" t="s">
        <v>121</v>
      </c>
      <c r="H1" t="s">
        <v>194</v>
      </c>
      <c r="J1" s="3" t="s">
        <v>121</v>
      </c>
      <c r="K1" t="s">
        <v>194</v>
      </c>
    </row>
    <row r="2" spans="1:11" x14ac:dyDescent="0.25">
      <c r="D2" s="3" t="s">
        <v>105</v>
      </c>
      <c r="E2" t="s">
        <v>5</v>
      </c>
      <c r="J2" s="3" t="s">
        <v>105</v>
      </c>
      <c r="K2" t="s">
        <v>5</v>
      </c>
    </row>
    <row r="3" spans="1:11" x14ac:dyDescent="0.25">
      <c r="A3" s="3" t="s">
        <v>106</v>
      </c>
      <c r="B3" t="s">
        <v>119</v>
      </c>
      <c r="G3" s="3" t="s">
        <v>106</v>
      </c>
      <c r="H3" t="s">
        <v>119</v>
      </c>
    </row>
    <row r="4" spans="1:11" x14ac:dyDescent="0.25">
      <c r="A4" s="4" t="s">
        <v>108</v>
      </c>
      <c r="B4" s="18">
        <v>3</v>
      </c>
      <c r="D4" s="3" t="s">
        <v>106</v>
      </c>
      <c r="E4" t="s">
        <v>119</v>
      </c>
      <c r="G4" s="4" t="s">
        <v>8</v>
      </c>
      <c r="H4" s="18">
        <v>5</v>
      </c>
      <c r="J4" s="3" t="s">
        <v>106</v>
      </c>
      <c r="K4" t="s">
        <v>119</v>
      </c>
    </row>
    <row r="5" spans="1:11" x14ac:dyDescent="0.25">
      <c r="A5" s="4" t="s">
        <v>109</v>
      </c>
      <c r="B5" s="18">
        <v>3</v>
      </c>
      <c r="D5" s="4" t="s">
        <v>108</v>
      </c>
      <c r="E5" s="18">
        <v>1</v>
      </c>
      <c r="G5" s="4" t="s">
        <v>6</v>
      </c>
      <c r="H5" s="18">
        <v>4</v>
      </c>
      <c r="J5" s="4" t="s">
        <v>8</v>
      </c>
      <c r="K5" s="18">
        <v>2</v>
      </c>
    </row>
    <row r="6" spans="1:11" x14ac:dyDescent="0.25">
      <c r="A6" s="4" t="s">
        <v>110</v>
      </c>
      <c r="B6" s="18">
        <v>3</v>
      </c>
      <c r="D6" s="4" t="s">
        <v>109</v>
      </c>
      <c r="E6" s="18">
        <v>1</v>
      </c>
      <c r="G6" s="4" t="s">
        <v>7</v>
      </c>
      <c r="H6" s="18">
        <v>7</v>
      </c>
      <c r="J6" s="4" t="s">
        <v>6</v>
      </c>
      <c r="K6" s="18">
        <v>1</v>
      </c>
    </row>
    <row r="7" spans="1:11" x14ac:dyDescent="0.25">
      <c r="A7" s="4" t="s">
        <v>111</v>
      </c>
      <c r="B7" s="18">
        <v>2</v>
      </c>
      <c r="D7" s="4" t="s">
        <v>110</v>
      </c>
      <c r="E7" s="18">
        <v>3</v>
      </c>
      <c r="G7" s="4" t="s">
        <v>9</v>
      </c>
      <c r="H7" s="18">
        <v>11</v>
      </c>
      <c r="J7" s="4" t="s">
        <v>7</v>
      </c>
      <c r="K7" s="18">
        <v>3</v>
      </c>
    </row>
    <row r="8" spans="1:11" x14ac:dyDescent="0.25">
      <c r="A8" s="4" t="s">
        <v>112</v>
      </c>
      <c r="B8" s="18">
        <v>4</v>
      </c>
      <c r="D8" s="4" t="s">
        <v>111</v>
      </c>
      <c r="E8" s="18">
        <v>1</v>
      </c>
      <c r="G8" s="4" t="s">
        <v>10</v>
      </c>
      <c r="H8" s="18">
        <v>2</v>
      </c>
      <c r="J8" s="4" t="s">
        <v>9</v>
      </c>
      <c r="K8" s="18">
        <v>4</v>
      </c>
    </row>
    <row r="9" spans="1:11" x14ac:dyDescent="0.25">
      <c r="A9" s="4" t="s">
        <v>113</v>
      </c>
      <c r="B9" s="18">
        <v>4</v>
      </c>
      <c r="D9" s="4" t="s">
        <v>112</v>
      </c>
      <c r="E9" s="18">
        <v>1</v>
      </c>
      <c r="G9" s="4" t="s">
        <v>11</v>
      </c>
      <c r="H9" s="18">
        <v>6</v>
      </c>
      <c r="J9" s="4" t="s">
        <v>10</v>
      </c>
      <c r="K9" s="18">
        <v>1</v>
      </c>
    </row>
    <row r="10" spans="1:11" x14ac:dyDescent="0.25">
      <c r="A10" s="4" t="s">
        <v>114</v>
      </c>
      <c r="B10" s="18">
        <v>3</v>
      </c>
      <c r="D10" s="4" t="s">
        <v>113</v>
      </c>
      <c r="E10" s="18">
        <v>1</v>
      </c>
      <c r="G10" s="4" t="s">
        <v>107</v>
      </c>
      <c r="H10" s="18">
        <v>35</v>
      </c>
      <c r="J10" s="4" t="s">
        <v>11</v>
      </c>
      <c r="K10" s="18">
        <v>3</v>
      </c>
    </row>
    <row r="11" spans="1:11" x14ac:dyDescent="0.25">
      <c r="A11" s="4" t="s">
        <v>115</v>
      </c>
      <c r="B11" s="18">
        <v>4</v>
      </c>
      <c r="D11" s="4" t="s">
        <v>114</v>
      </c>
      <c r="E11" s="18">
        <v>1</v>
      </c>
      <c r="J11" s="4" t="s">
        <v>107</v>
      </c>
      <c r="K11" s="18">
        <v>14</v>
      </c>
    </row>
    <row r="12" spans="1:11" x14ac:dyDescent="0.25">
      <c r="A12" s="4" t="s">
        <v>116</v>
      </c>
      <c r="B12" s="18">
        <v>2</v>
      </c>
      <c r="D12" s="4" t="s">
        <v>115</v>
      </c>
      <c r="E12" s="18">
        <v>1</v>
      </c>
    </row>
    <row r="13" spans="1:11" x14ac:dyDescent="0.25">
      <c r="A13" s="4" t="s">
        <v>117</v>
      </c>
      <c r="B13" s="18">
        <v>4</v>
      </c>
      <c r="D13" s="4" t="s">
        <v>116</v>
      </c>
      <c r="E13" s="18">
        <v>1</v>
      </c>
    </row>
    <row r="14" spans="1:11" x14ac:dyDescent="0.25">
      <c r="A14" s="4" t="s">
        <v>118</v>
      </c>
      <c r="B14" s="18">
        <v>3</v>
      </c>
      <c r="D14" s="4" t="s">
        <v>117</v>
      </c>
      <c r="E14" s="18">
        <v>1</v>
      </c>
    </row>
    <row r="15" spans="1:11" x14ac:dyDescent="0.25">
      <c r="A15" s="4" t="s">
        <v>107</v>
      </c>
      <c r="B15" s="18">
        <v>35</v>
      </c>
      <c r="D15" s="4" t="s">
        <v>118</v>
      </c>
      <c r="E15" s="18">
        <v>2</v>
      </c>
    </row>
    <row r="16" spans="1:11" x14ac:dyDescent="0.25">
      <c r="D16" s="4" t="s">
        <v>107</v>
      </c>
      <c r="E16" s="18">
        <v>14</v>
      </c>
    </row>
    <row r="22" spans="1:8" x14ac:dyDescent="0.25">
      <c r="A22" s="3" t="s">
        <v>131</v>
      </c>
      <c r="B22" t="s">
        <v>180</v>
      </c>
    </row>
    <row r="24" spans="1:8" x14ac:dyDescent="0.25">
      <c r="A24" s="3" t="s">
        <v>106</v>
      </c>
      <c r="B24" t="s">
        <v>183</v>
      </c>
    </row>
    <row r="25" spans="1:8" x14ac:dyDescent="0.25">
      <c r="A25" s="4" t="s">
        <v>120</v>
      </c>
      <c r="B25" s="18">
        <v>11</v>
      </c>
      <c r="D25" s="3" t="s">
        <v>131</v>
      </c>
      <c r="E25" t="s">
        <v>180</v>
      </c>
      <c r="G25" s="3" t="s">
        <v>131</v>
      </c>
      <c r="H25" t="s">
        <v>180</v>
      </c>
    </row>
    <row r="26" spans="1:8" x14ac:dyDescent="0.25">
      <c r="A26" s="5" t="s">
        <v>109</v>
      </c>
      <c r="B26" s="18">
        <v>1</v>
      </c>
    </row>
    <row r="27" spans="1:8" x14ac:dyDescent="0.25">
      <c r="A27" s="5" t="s">
        <v>110</v>
      </c>
      <c r="B27" s="18">
        <v>2</v>
      </c>
      <c r="D27" s="3" t="s">
        <v>106</v>
      </c>
      <c r="E27" s="7" t="s">
        <v>184</v>
      </c>
      <c r="G27" s="3" t="s">
        <v>106</v>
      </c>
      <c r="H27" t="s">
        <v>183</v>
      </c>
    </row>
    <row r="28" spans="1:8" x14ac:dyDescent="0.25">
      <c r="A28" s="5" t="s">
        <v>111</v>
      </c>
      <c r="B28" s="18">
        <v>1</v>
      </c>
      <c r="D28" s="4" t="s">
        <v>120</v>
      </c>
      <c r="E28" s="7">
        <v>3775000</v>
      </c>
      <c r="G28" s="4" t="s">
        <v>8</v>
      </c>
      <c r="H28" s="18">
        <v>1</v>
      </c>
    </row>
    <row r="29" spans="1:8" x14ac:dyDescent="0.25">
      <c r="A29" s="5" t="s">
        <v>112</v>
      </c>
      <c r="B29" s="18">
        <v>2</v>
      </c>
      <c r="D29" s="5" t="s">
        <v>109</v>
      </c>
      <c r="E29" s="7">
        <v>250000</v>
      </c>
      <c r="G29" s="4" t="s">
        <v>6</v>
      </c>
      <c r="H29" s="18">
        <v>1</v>
      </c>
    </row>
    <row r="30" spans="1:8" x14ac:dyDescent="0.25">
      <c r="A30" s="5" t="s">
        <v>113</v>
      </c>
      <c r="B30" s="18">
        <v>1</v>
      </c>
      <c r="D30" s="5" t="s">
        <v>110</v>
      </c>
      <c r="E30" s="7">
        <v>1050000</v>
      </c>
      <c r="G30" s="4" t="s">
        <v>7</v>
      </c>
      <c r="H30" s="18">
        <v>4</v>
      </c>
    </row>
    <row r="31" spans="1:8" x14ac:dyDescent="0.25">
      <c r="A31" s="5" t="s">
        <v>114</v>
      </c>
      <c r="B31" s="18">
        <v>1</v>
      </c>
      <c r="D31" s="5" t="s">
        <v>111</v>
      </c>
      <c r="E31" s="7">
        <v>600000</v>
      </c>
      <c r="G31" s="4" t="s">
        <v>9</v>
      </c>
      <c r="H31" s="18">
        <v>2</v>
      </c>
    </row>
    <row r="32" spans="1:8" x14ac:dyDescent="0.25">
      <c r="A32" s="5" t="s">
        <v>115</v>
      </c>
      <c r="B32" s="18">
        <v>2</v>
      </c>
      <c r="D32" s="5" t="s">
        <v>112</v>
      </c>
      <c r="E32" s="7">
        <v>300000</v>
      </c>
      <c r="G32" s="4" t="s">
        <v>10</v>
      </c>
      <c r="H32" s="18">
        <v>1</v>
      </c>
    </row>
    <row r="33" spans="1:8" x14ac:dyDescent="0.25">
      <c r="A33" s="5" t="s">
        <v>116</v>
      </c>
      <c r="B33" s="18">
        <v>1</v>
      </c>
      <c r="D33" s="5" t="s">
        <v>113</v>
      </c>
      <c r="E33" s="7">
        <v>50000</v>
      </c>
      <c r="G33" s="4" t="s">
        <v>11</v>
      </c>
      <c r="H33" s="18">
        <v>2</v>
      </c>
    </row>
    <row r="34" spans="1:8" x14ac:dyDescent="0.25">
      <c r="A34" s="4" t="s">
        <v>107</v>
      </c>
      <c r="B34" s="18">
        <v>11</v>
      </c>
      <c r="D34" s="5" t="s">
        <v>114</v>
      </c>
      <c r="E34" s="7">
        <v>100000</v>
      </c>
      <c r="G34" s="4" t="s">
        <v>107</v>
      </c>
      <c r="H34" s="18">
        <v>11</v>
      </c>
    </row>
    <row r="35" spans="1:8" x14ac:dyDescent="0.25">
      <c r="D35" s="5" t="s">
        <v>115</v>
      </c>
      <c r="E35" s="7">
        <v>1065000</v>
      </c>
    </row>
    <row r="36" spans="1:8" x14ac:dyDescent="0.25">
      <c r="D36" s="5" t="s">
        <v>116</v>
      </c>
      <c r="E36" s="7">
        <v>360000</v>
      </c>
    </row>
    <row r="37" spans="1:8" x14ac:dyDescent="0.25">
      <c r="D37" s="4" t="s">
        <v>107</v>
      </c>
      <c r="E37" s="7">
        <v>3775000</v>
      </c>
    </row>
    <row r="40" spans="1:8" x14ac:dyDescent="0.25">
      <c r="A40" s="3" t="s">
        <v>131</v>
      </c>
      <c r="B40" t="s">
        <v>180</v>
      </c>
      <c r="D40" s="3" t="s">
        <v>131</v>
      </c>
      <c r="E40" t="s">
        <v>180</v>
      </c>
      <c r="G40" s="3" t="s">
        <v>131</v>
      </c>
      <c r="H40" t="s">
        <v>180</v>
      </c>
    </row>
    <row r="42" spans="1:8" x14ac:dyDescent="0.25">
      <c r="A42" s="3" t="s">
        <v>106</v>
      </c>
      <c r="B42" t="s">
        <v>184</v>
      </c>
      <c r="D42" t="s">
        <v>185</v>
      </c>
      <c r="G42" s="3" t="s">
        <v>106</v>
      </c>
      <c r="H42" t="s">
        <v>183</v>
      </c>
    </row>
    <row r="43" spans="1:8" x14ac:dyDescent="0.25">
      <c r="A43" s="4" t="s">
        <v>8</v>
      </c>
      <c r="B43" s="7">
        <v>360000</v>
      </c>
      <c r="D43" s="18">
        <v>118.45454545454545</v>
      </c>
      <c r="G43" s="4" t="s">
        <v>181</v>
      </c>
      <c r="H43" s="18">
        <v>6</v>
      </c>
    </row>
    <row r="44" spans="1:8" x14ac:dyDescent="0.25">
      <c r="A44" s="4" t="s">
        <v>6</v>
      </c>
      <c r="B44" s="7">
        <v>150000</v>
      </c>
      <c r="G44" s="4" t="s">
        <v>5</v>
      </c>
      <c r="H44" s="18">
        <v>5</v>
      </c>
    </row>
    <row r="45" spans="1:8" x14ac:dyDescent="0.25">
      <c r="A45" s="4" t="s">
        <v>7</v>
      </c>
      <c r="B45" s="7">
        <v>650000</v>
      </c>
      <c r="G45" s="4" t="s">
        <v>107</v>
      </c>
      <c r="H45" s="18">
        <v>11</v>
      </c>
    </row>
    <row r="46" spans="1:8" x14ac:dyDescent="0.25">
      <c r="A46" s="4" t="s">
        <v>9</v>
      </c>
      <c r="B46" s="7">
        <v>470000</v>
      </c>
    </row>
    <row r="47" spans="1:8" x14ac:dyDescent="0.25">
      <c r="A47" s="4" t="s">
        <v>10</v>
      </c>
      <c r="B47" s="7">
        <v>800000</v>
      </c>
      <c r="D47" s="3" t="s">
        <v>131</v>
      </c>
      <c r="E47" t="s">
        <v>180</v>
      </c>
    </row>
    <row r="48" spans="1:8" x14ac:dyDescent="0.25">
      <c r="A48" s="4" t="s">
        <v>11</v>
      </c>
      <c r="B48" s="7">
        <v>1345000</v>
      </c>
      <c r="G48" s="3" t="s">
        <v>131</v>
      </c>
      <c r="H48" t="s">
        <v>180</v>
      </c>
    </row>
    <row r="49" spans="1:8" x14ac:dyDescent="0.25">
      <c r="A49" s="4" t="s">
        <v>107</v>
      </c>
      <c r="B49" s="7">
        <v>3775000</v>
      </c>
      <c r="D49" t="s">
        <v>184</v>
      </c>
    </row>
    <row r="50" spans="1:8" x14ac:dyDescent="0.25">
      <c r="D50" s="7">
        <v>3775000</v>
      </c>
      <c r="G50" t="s">
        <v>183</v>
      </c>
    </row>
    <row r="51" spans="1:8" x14ac:dyDescent="0.25">
      <c r="A51" s="3" t="s">
        <v>131</v>
      </c>
      <c r="B51" t="s">
        <v>180</v>
      </c>
      <c r="G51" s="18">
        <v>11</v>
      </c>
    </row>
    <row r="52" spans="1:8" x14ac:dyDescent="0.25">
      <c r="A52" s="3" t="s">
        <v>129</v>
      </c>
      <c r="B52" t="s">
        <v>5</v>
      </c>
      <c r="D52" s="3" t="s">
        <v>131</v>
      </c>
      <c r="E52" t="s">
        <v>180</v>
      </c>
    </row>
    <row r="53" spans="1:8" x14ac:dyDescent="0.25">
      <c r="G53" s="3" t="s">
        <v>131</v>
      </c>
      <c r="H53" t="s">
        <v>180</v>
      </c>
    </row>
    <row r="54" spans="1:8" x14ac:dyDescent="0.25">
      <c r="A54" t="s">
        <v>184</v>
      </c>
      <c r="D54" t="s">
        <v>186</v>
      </c>
    </row>
    <row r="55" spans="1:8" x14ac:dyDescent="0.25">
      <c r="A55" s="7">
        <v>2695000</v>
      </c>
      <c r="D55" s="18">
        <v>375</v>
      </c>
      <c r="G55" s="3" t="s">
        <v>106</v>
      </c>
      <c r="H55" t="s">
        <v>183</v>
      </c>
    </row>
    <row r="56" spans="1:8" x14ac:dyDescent="0.25">
      <c r="G56" s="4" t="s">
        <v>175</v>
      </c>
      <c r="H56" s="18">
        <v>3</v>
      </c>
    </row>
    <row r="57" spans="1:8" x14ac:dyDescent="0.25">
      <c r="G57" s="4" t="s">
        <v>178</v>
      </c>
      <c r="H57" s="18">
        <v>3</v>
      </c>
    </row>
    <row r="58" spans="1:8" x14ac:dyDescent="0.25">
      <c r="G58" s="4" t="s">
        <v>165</v>
      </c>
      <c r="H58" s="18">
        <v>1</v>
      </c>
    </row>
    <row r="59" spans="1:8" x14ac:dyDescent="0.25">
      <c r="G59" s="4" t="s">
        <v>177</v>
      </c>
      <c r="H59" s="18">
        <v>2</v>
      </c>
    </row>
    <row r="60" spans="1:8" x14ac:dyDescent="0.25">
      <c r="G60" s="4" t="s">
        <v>174</v>
      </c>
      <c r="H60" s="18">
        <v>1</v>
      </c>
    </row>
    <row r="61" spans="1:8" x14ac:dyDescent="0.25">
      <c r="G61" s="4" t="s">
        <v>176</v>
      </c>
      <c r="H61" s="18">
        <v>1</v>
      </c>
    </row>
    <row r="62" spans="1:8" x14ac:dyDescent="0.25">
      <c r="G62" s="4" t="s">
        <v>107</v>
      </c>
      <c r="H62" s="18">
        <v>11</v>
      </c>
    </row>
  </sheetData>
  <pageMargins left="0.7" right="0.7" top="0.75" bottom="0.75" header="0.3" footer="0.3"/>
  <drawing r:id="rId1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Leads</vt:lpstr>
      <vt:lpstr>Leads_Dashboard</vt:lpstr>
      <vt:lpstr>Main Tracker</vt:lpstr>
      <vt:lpstr>Main Tracker Dashboard</vt:lpstr>
      <vt:lpstr>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Vivek Garari</dc:creator>
  <cp:lastModifiedBy>Vivek Garari</cp:lastModifiedBy>
  <dcterms:created xsi:type="dcterms:W3CDTF">2025-12-27T17:28:26Z</dcterms:created>
  <dcterms:modified xsi:type="dcterms:W3CDTF">2025-12-31T08:51:21Z</dcterms:modified>
</cp:coreProperties>
</file>